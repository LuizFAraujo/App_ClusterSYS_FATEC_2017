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D:\_WEB\TESTES C#\_ FATEC\_ CLUSTER\App_ClusterSYS\modelagem\"/>
    </mc:Choice>
  </mc:AlternateContent>
  <xr:revisionPtr revIDLastSave="0" documentId="13_ncr:1_{6F31C9FF-8392-41F5-B533-BBC4E0BAFE20}" xr6:coauthVersionLast="47" xr6:coauthVersionMax="47" xr10:uidLastSave="{00000000-0000-0000-0000-000000000000}"/>
  <bookViews>
    <workbookView xWindow="-120" yWindow="-120" windowWidth="20730" windowHeight="11160" tabRatio="527" xr2:uid="{00000000-000D-0000-FFFF-FFFF00000000}"/>
  </bookViews>
  <sheets>
    <sheet name="  Usuários  " sheetId="5" r:id="rId1"/>
    <sheet name="Fornecedores" sheetId="6" r:id="rId2"/>
    <sheet name="  Clientes  " sheetId="7" r:id="rId3"/>
    <sheet name="Produtos" sheetId="8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" i="8" l="1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E13" i="8"/>
  <c r="E12" i="8"/>
  <c r="D13" i="8"/>
  <c r="D12" i="8"/>
  <c r="H15" i="8"/>
  <c r="H18" i="8" s="1"/>
  <c r="H21" i="8" s="1"/>
  <c r="I21" i="8" s="1"/>
  <c r="G15" i="8"/>
  <c r="G18" i="8" s="1"/>
  <c r="I12" i="8"/>
  <c r="I19" i="8"/>
  <c r="I13" i="8"/>
  <c r="I16" i="8"/>
  <c r="I18" i="8" l="1"/>
  <c r="I15" i="8"/>
  <c r="H24" i="8"/>
  <c r="I24" i="8" s="1"/>
  <c r="G21" i="8"/>
  <c r="E12" i="6"/>
  <c r="G12" i="6"/>
  <c r="K12" i="6"/>
  <c r="L12" i="6"/>
  <c r="N12" i="6"/>
  <c r="S12" i="6"/>
  <c r="E13" i="6"/>
  <c r="G13" i="6"/>
  <c r="K13" i="6"/>
  <c r="L13" i="6"/>
  <c r="N13" i="6"/>
  <c r="E14" i="6"/>
  <c r="G14" i="6"/>
  <c r="K14" i="6"/>
  <c r="L14" i="6"/>
  <c r="N14" i="6"/>
  <c r="E15" i="6"/>
  <c r="G15" i="6"/>
  <c r="K15" i="6"/>
  <c r="L15" i="6"/>
  <c r="N15" i="6"/>
  <c r="Q15" i="6"/>
  <c r="R15" i="6"/>
  <c r="E16" i="6"/>
  <c r="G16" i="6"/>
  <c r="K16" i="6"/>
  <c r="L16" i="6"/>
  <c r="N16" i="6"/>
  <c r="E17" i="6"/>
  <c r="G17" i="6"/>
  <c r="K17" i="6"/>
  <c r="L17" i="6"/>
  <c r="N17" i="6"/>
  <c r="E18" i="6"/>
  <c r="G18" i="6"/>
  <c r="K18" i="6"/>
  <c r="L18" i="6"/>
  <c r="N18" i="6"/>
  <c r="Q18" i="6"/>
  <c r="Q21" i="6" s="1"/>
  <c r="Q24" i="6" s="1"/>
  <c r="E19" i="6"/>
  <c r="G19" i="6"/>
  <c r="K19" i="6"/>
  <c r="L19" i="6"/>
  <c r="N19" i="6"/>
  <c r="E20" i="6"/>
  <c r="G20" i="6"/>
  <c r="K20" i="6"/>
  <c r="L20" i="6"/>
  <c r="N20" i="6"/>
  <c r="E21" i="6"/>
  <c r="G21" i="6"/>
  <c r="K21" i="6"/>
  <c r="L21" i="6"/>
  <c r="N21" i="6"/>
  <c r="E22" i="6"/>
  <c r="G22" i="6"/>
  <c r="K22" i="6"/>
  <c r="L22" i="6"/>
  <c r="N22" i="6"/>
  <c r="E23" i="6"/>
  <c r="G23" i="6"/>
  <c r="K23" i="6"/>
  <c r="L23" i="6"/>
  <c r="N23" i="6"/>
  <c r="E24" i="6"/>
  <c r="G24" i="6"/>
  <c r="K24" i="6"/>
  <c r="L24" i="6"/>
  <c r="N24" i="6"/>
  <c r="E25" i="6"/>
  <c r="G25" i="6"/>
  <c r="K25" i="6"/>
  <c r="L25" i="6"/>
  <c r="N25" i="6"/>
  <c r="E26" i="6"/>
  <c r="G26" i="6"/>
  <c r="K26" i="6"/>
  <c r="L26" i="6"/>
  <c r="N26" i="6"/>
  <c r="E27" i="6"/>
  <c r="G27" i="6"/>
  <c r="K27" i="6"/>
  <c r="L27" i="6"/>
  <c r="N27" i="6"/>
  <c r="Q27" i="6"/>
  <c r="E28" i="6"/>
  <c r="G28" i="6"/>
  <c r="L28" i="6"/>
  <c r="N28" i="6"/>
  <c r="E29" i="6"/>
  <c r="G29" i="6"/>
  <c r="K29" i="6"/>
  <c r="L29" i="6"/>
  <c r="N29" i="6"/>
  <c r="E30" i="6"/>
  <c r="G30" i="6"/>
  <c r="K30" i="6"/>
  <c r="L30" i="6"/>
  <c r="N30" i="6"/>
  <c r="Q30" i="6"/>
  <c r="E31" i="6"/>
  <c r="G31" i="6"/>
  <c r="K31" i="6"/>
  <c r="L31" i="6"/>
  <c r="N31" i="6"/>
  <c r="E32" i="6"/>
  <c r="G32" i="6"/>
  <c r="K32" i="6"/>
  <c r="L32" i="6"/>
  <c r="N32" i="6"/>
  <c r="E33" i="6"/>
  <c r="G33" i="6"/>
  <c r="K33" i="6"/>
  <c r="L33" i="6"/>
  <c r="N33" i="6"/>
  <c r="Q33" i="6"/>
  <c r="Q36" i="6" s="1"/>
  <c r="Q39" i="6" s="1"/>
  <c r="Q42" i="6" s="1"/>
  <c r="Q45" i="6" s="1"/>
  <c r="Q48" i="6" s="1"/>
  <c r="Q51" i="6" s="1"/>
  <c r="Q54" i="6" s="1"/>
  <c r="Q57" i="6" s="1"/>
  <c r="Q60" i="6" s="1"/>
  <c r="Q63" i="6" s="1"/>
  <c r="Q66" i="6" s="1"/>
  <c r="Q69" i="6" s="1"/>
  <c r="Q72" i="6" s="1"/>
  <c r="Q75" i="6" s="1"/>
  <c r="Q78" i="6" s="1"/>
  <c r="Q81" i="6" s="1"/>
  <c r="Q84" i="6" s="1"/>
  <c r="Q87" i="6" s="1"/>
  <c r="Q90" i="6" s="1"/>
  <c r="Q93" i="6" s="1"/>
  <c r="Q96" i="6" s="1"/>
  <c r="Q99" i="6" s="1"/>
  <c r="Q102" i="6" s="1"/>
  <c r="Q105" i="6" s="1"/>
  <c r="Q108" i="6" s="1"/>
  <c r="Q111" i="6" s="1"/>
  <c r="Q114" i="6" s="1"/>
  <c r="Q117" i="6" s="1"/>
  <c r="Q120" i="6" s="1"/>
  <c r="Q123" i="6" s="1"/>
  <c r="Q126" i="6" s="1"/>
  <c r="Q129" i="6" s="1"/>
  <c r="Q132" i="6" s="1"/>
  <c r="Q135" i="6" s="1"/>
  <c r="Q138" i="6" s="1"/>
  <c r="E34" i="6"/>
  <c r="G34" i="6"/>
  <c r="K34" i="6"/>
  <c r="L34" i="6"/>
  <c r="N34" i="6"/>
  <c r="E35" i="6"/>
  <c r="G35" i="6"/>
  <c r="K35" i="6"/>
  <c r="L35" i="6"/>
  <c r="N35" i="6"/>
  <c r="E36" i="6"/>
  <c r="G36" i="6"/>
  <c r="K36" i="6"/>
  <c r="L36" i="6"/>
  <c r="N36" i="6"/>
  <c r="E37" i="6"/>
  <c r="G37" i="6"/>
  <c r="K37" i="6"/>
  <c r="L37" i="6"/>
  <c r="N37" i="6"/>
  <c r="E38" i="6"/>
  <c r="G38" i="6"/>
  <c r="K38" i="6"/>
  <c r="L38" i="6"/>
  <c r="N38" i="6"/>
  <c r="E39" i="6"/>
  <c r="G39" i="6"/>
  <c r="K39" i="6"/>
  <c r="L39" i="6"/>
  <c r="N39" i="6"/>
  <c r="E40" i="6"/>
  <c r="G40" i="6"/>
  <c r="K40" i="6"/>
  <c r="L40" i="6"/>
  <c r="N40" i="6"/>
  <c r="E41" i="6"/>
  <c r="G41" i="6"/>
  <c r="K41" i="6"/>
  <c r="L41" i="6"/>
  <c r="N41" i="6"/>
  <c r="E42" i="6"/>
  <c r="G42" i="6"/>
  <c r="K42" i="6"/>
  <c r="L42" i="6"/>
  <c r="N42" i="6"/>
  <c r="E43" i="6"/>
  <c r="G43" i="6"/>
  <c r="K43" i="6"/>
  <c r="L43" i="6"/>
  <c r="N43" i="6"/>
  <c r="E44" i="6"/>
  <c r="G44" i="6"/>
  <c r="K44" i="6"/>
  <c r="L44" i="6"/>
  <c r="N44" i="6"/>
  <c r="E45" i="6"/>
  <c r="G45" i="6"/>
  <c r="K45" i="6"/>
  <c r="L45" i="6"/>
  <c r="N45" i="6"/>
  <c r="E46" i="6"/>
  <c r="G46" i="6"/>
  <c r="K46" i="6"/>
  <c r="L46" i="6"/>
  <c r="N46" i="6"/>
  <c r="E47" i="6"/>
  <c r="G47" i="6"/>
  <c r="K47" i="6"/>
  <c r="L47" i="6"/>
  <c r="N47" i="6"/>
  <c r="E48" i="6"/>
  <c r="G48" i="6"/>
  <c r="K48" i="6"/>
  <c r="L48" i="6"/>
  <c r="N48" i="6"/>
  <c r="E49" i="6"/>
  <c r="G49" i="6"/>
  <c r="K49" i="6"/>
  <c r="L49" i="6"/>
  <c r="N49" i="6"/>
  <c r="E50" i="6"/>
  <c r="G50" i="6"/>
  <c r="K50" i="6"/>
  <c r="L50" i="6"/>
  <c r="N50" i="6"/>
  <c r="E51" i="6"/>
  <c r="G51" i="6"/>
  <c r="K51" i="6"/>
  <c r="L51" i="6"/>
  <c r="N51" i="6"/>
  <c r="E52" i="6"/>
  <c r="G52" i="6"/>
  <c r="K52" i="6"/>
  <c r="L52" i="6"/>
  <c r="N52" i="6"/>
  <c r="E53" i="6"/>
  <c r="G53" i="6"/>
  <c r="K53" i="6"/>
  <c r="L53" i="6"/>
  <c r="N53" i="6"/>
  <c r="E54" i="6"/>
  <c r="G54" i="6"/>
  <c r="K54" i="6"/>
  <c r="L54" i="6"/>
  <c r="N54" i="6"/>
  <c r="E55" i="6"/>
  <c r="G55" i="6"/>
  <c r="K55" i="6"/>
  <c r="L55" i="6"/>
  <c r="N55" i="6"/>
  <c r="E56" i="6"/>
  <c r="G56" i="6"/>
  <c r="K56" i="6"/>
  <c r="L56" i="6"/>
  <c r="N56" i="6"/>
  <c r="E57" i="6"/>
  <c r="G57" i="6"/>
  <c r="K57" i="6"/>
  <c r="L57" i="6"/>
  <c r="N57" i="6"/>
  <c r="E58" i="6"/>
  <c r="G58" i="6"/>
  <c r="K58" i="6"/>
  <c r="L58" i="6"/>
  <c r="N58" i="6"/>
  <c r="E59" i="6"/>
  <c r="G59" i="6"/>
  <c r="K59" i="6"/>
  <c r="L59" i="6"/>
  <c r="N59" i="6"/>
  <c r="E60" i="6"/>
  <c r="G60" i="6"/>
  <c r="K60" i="6"/>
  <c r="L60" i="6"/>
  <c r="N60" i="6"/>
  <c r="E61" i="6"/>
  <c r="G61" i="6"/>
  <c r="K61" i="6"/>
  <c r="L61" i="6"/>
  <c r="N61" i="6"/>
  <c r="I22" i="8"/>
  <c r="F28" i="6"/>
  <c r="F48" i="6"/>
  <c r="F39" i="6"/>
  <c r="F36" i="6"/>
  <c r="F32" i="6"/>
  <c r="F16" i="6"/>
  <c r="F50" i="6"/>
  <c r="F52" i="6"/>
  <c r="F61" i="6"/>
  <c r="F42" i="6"/>
  <c r="F19" i="6"/>
  <c r="F37" i="6"/>
  <c r="F46" i="6"/>
  <c r="F30" i="6"/>
  <c r="F49" i="6"/>
  <c r="F17" i="6"/>
  <c r="F60" i="6"/>
  <c r="F13" i="6"/>
  <c r="F57" i="6"/>
  <c r="F58" i="6"/>
  <c r="F35" i="6"/>
  <c r="F56" i="6"/>
  <c r="F25" i="6"/>
  <c r="F22" i="6"/>
  <c r="F54" i="6"/>
  <c r="F14" i="6"/>
  <c r="F59" i="6"/>
  <c r="F24" i="6"/>
  <c r="F21" i="6"/>
  <c r="F23" i="6"/>
  <c r="S19" i="6"/>
  <c r="F31" i="6"/>
  <c r="F26" i="6"/>
  <c r="F43" i="6"/>
  <c r="F15" i="6"/>
  <c r="F40" i="6"/>
  <c r="F55" i="6"/>
  <c r="F44" i="6"/>
  <c r="F53" i="6"/>
  <c r="F34" i="6"/>
  <c r="F33" i="6"/>
  <c r="F51" i="6"/>
  <c r="F29" i="6"/>
  <c r="F45" i="6"/>
  <c r="F38" i="6"/>
  <c r="F47" i="6"/>
  <c r="F27" i="6"/>
  <c r="F20" i="6"/>
  <c r="F18" i="6"/>
  <c r="F12" i="6"/>
  <c r="F41" i="6"/>
  <c r="Q141" i="6" l="1"/>
  <c r="Q144" i="6" s="1"/>
  <c r="Q147" i="6" s="1"/>
  <c r="S15" i="6"/>
  <c r="R18" i="6"/>
  <c r="G24" i="8"/>
  <c r="H27" i="8"/>
  <c r="I27" i="8" s="1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13" i="7"/>
  <c r="L12" i="7"/>
  <c r="N61" i="7"/>
  <c r="K61" i="7"/>
  <c r="G61" i="7"/>
  <c r="E61" i="7"/>
  <c r="N60" i="7"/>
  <c r="K60" i="7"/>
  <c r="G60" i="7"/>
  <c r="E60" i="7"/>
  <c r="N59" i="7"/>
  <c r="K59" i="7"/>
  <c r="G59" i="7"/>
  <c r="E59" i="7"/>
  <c r="N58" i="7"/>
  <c r="K58" i="7"/>
  <c r="G58" i="7"/>
  <c r="E58" i="7"/>
  <c r="N57" i="7"/>
  <c r="K57" i="7"/>
  <c r="G57" i="7"/>
  <c r="E57" i="7"/>
  <c r="N56" i="7"/>
  <c r="K56" i="7"/>
  <c r="G56" i="7"/>
  <c r="E56" i="7"/>
  <c r="N55" i="7"/>
  <c r="K55" i="7"/>
  <c r="G55" i="7"/>
  <c r="E55" i="7"/>
  <c r="N54" i="7"/>
  <c r="K54" i="7"/>
  <c r="G54" i="7"/>
  <c r="E54" i="7"/>
  <c r="N53" i="7"/>
  <c r="K53" i="7"/>
  <c r="G53" i="7"/>
  <c r="E53" i="7"/>
  <c r="N52" i="7"/>
  <c r="K52" i="7"/>
  <c r="G52" i="7"/>
  <c r="E52" i="7"/>
  <c r="N51" i="7"/>
  <c r="K51" i="7"/>
  <c r="G51" i="7"/>
  <c r="E51" i="7"/>
  <c r="N50" i="7"/>
  <c r="K50" i="7"/>
  <c r="G50" i="7"/>
  <c r="E50" i="7"/>
  <c r="N49" i="7"/>
  <c r="K49" i="7"/>
  <c r="G49" i="7"/>
  <c r="E49" i="7"/>
  <c r="N48" i="7"/>
  <c r="K48" i="7"/>
  <c r="G48" i="7"/>
  <c r="E48" i="7"/>
  <c r="N47" i="7"/>
  <c r="K47" i="7"/>
  <c r="G47" i="7"/>
  <c r="E47" i="7"/>
  <c r="N46" i="7"/>
  <c r="K46" i="7"/>
  <c r="G46" i="7"/>
  <c r="E46" i="7"/>
  <c r="N45" i="7"/>
  <c r="K45" i="7"/>
  <c r="G45" i="7"/>
  <c r="E45" i="7"/>
  <c r="N44" i="7"/>
  <c r="K44" i="7"/>
  <c r="G44" i="7"/>
  <c r="E44" i="7"/>
  <c r="N43" i="7"/>
  <c r="K43" i="7"/>
  <c r="G43" i="7"/>
  <c r="E43" i="7"/>
  <c r="N42" i="7"/>
  <c r="K42" i="7"/>
  <c r="G42" i="7"/>
  <c r="E42" i="7"/>
  <c r="N41" i="7"/>
  <c r="K41" i="7"/>
  <c r="G41" i="7"/>
  <c r="E41" i="7"/>
  <c r="N40" i="7"/>
  <c r="K40" i="7"/>
  <c r="G40" i="7"/>
  <c r="E40" i="7"/>
  <c r="N39" i="7"/>
  <c r="K39" i="7"/>
  <c r="G39" i="7"/>
  <c r="E39" i="7"/>
  <c r="N38" i="7"/>
  <c r="K38" i="7"/>
  <c r="G38" i="7"/>
  <c r="E38" i="7"/>
  <c r="N37" i="7"/>
  <c r="K37" i="7"/>
  <c r="G37" i="7"/>
  <c r="E37" i="7"/>
  <c r="N36" i="7"/>
  <c r="K36" i="7"/>
  <c r="G36" i="7"/>
  <c r="E36" i="7"/>
  <c r="N35" i="7"/>
  <c r="K35" i="7"/>
  <c r="G35" i="7"/>
  <c r="E35" i="7"/>
  <c r="N34" i="7"/>
  <c r="K34" i="7"/>
  <c r="G34" i="7"/>
  <c r="E34" i="7"/>
  <c r="N33" i="7"/>
  <c r="K33" i="7"/>
  <c r="G33" i="7"/>
  <c r="E33" i="7"/>
  <c r="N32" i="7"/>
  <c r="K32" i="7"/>
  <c r="G32" i="7"/>
  <c r="E32" i="7"/>
  <c r="N31" i="7"/>
  <c r="K31" i="7"/>
  <c r="G31" i="7"/>
  <c r="E31" i="7"/>
  <c r="N30" i="7"/>
  <c r="K30" i="7"/>
  <c r="G30" i="7"/>
  <c r="E30" i="7"/>
  <c r="N29" i="7"/>
  <c r="K29" i="7"/>
  <c r="G29" i="7"/>
  <c r="E29" i="7"/>
  <c r="N28" i="7"/>
  <c r="G28" i="7"/>
  <c r="E28" i="7"/>
  <c r="N27" i="7"/>
  <c r="K27" i="7"/>
  <c r="G27" i="7"/>
  <c r="E27" i="7"/>
  <c r="N26" i="7"/>
  <c r="K26" i="7"/>
  <c r="G26" i="7"/>
  <c r="E26" i="7"/>
  <c r="N25" i="7"/>
  <c r="K25" i="7"/>
  <c r="G25" i="7"/>
  <c r="E25" i="7"/>
  <c r="N24" i="7"/>
  <c r="K24" i="7"/>
  <c r="G24" i="7"/>
  <c r="E24" i="7"/>
  <c r="N23" i="7"/>
  <c r="K23" i="7"/>
  <c r="G23" i="7"/>
  <c r="E23" i="7"/>
  <c r="N22" i="7"/>
  <c r="K22" i="7"/>
  <c r="G22" i="7"/>
  <c r="E22" i="7"/>
  <c r="N21" i="7"/>
  <c r="K21" i="7"/>
  <c r="G21" i="7"/>
  <c r="E21" i="7"/>
  <c r="N20" i="7"/>
  <c r="K20" i="7"/>
  <c r="G20" i="7"/>
  <c r="E20" i="7"/>
  <c r="N19" i="7"/>
  <c r="K19" i="7"/>
  <c r="G19" i="7"/>
  <c r="E19" i="7"/>
  <c r="N18" i="7"/>
  <c r="K18" i="7"/>
  <c r="G18" i="7"/>
  <c r="E18" i="7"/>
  <c r="N17" i="7"/>
  <c r="K17" i="7"/>
  <c r="G17" i="7"/>
  <c r="E17" i="7"/>
  <c r="N16" i="7"/>
  <c r="K16" i="7"/>
  <c r="G16" i="7"/>
  <c r="E16" i="7"/>
  <c r="R15" i="7"/>
  <c r="S15" i="7" s="1"/>
  <c r="Q15" i="7"/>
  <c r="N15" i="7"/>
  <c r="K15" i="7"/>
  <c r="G15" i="7"/>
  <c r="E15" i="7"/>
  <c r="N14" i="7"/>
  <c r="K14" i="7"/>
  <c r="G14" i="7"/>
  <c r="E14" i="7"/>
  <c r="N13" i="7"/>
  <c r="K13" i="7"/>
  <c r="G13" i="7"/>
  <c r="E13" i="7"/>
  <c r="S12" i="7"/>
  <c r="N12" i="7"/>
  <c r="K12" i="7"/>
  <c r="G12" i="7"/>
  <c r="E12" i="7"/>
  <c r="S79" i="6"/>
  <c r="S16" i="6"/>
  <c r="S88" i="6"/>
  <c r="F58" i="7"/>
  <c r="S121" i="6"/>
  <c r="F17" i="7"/>
  <c r="S31" i="6"/>
  <c r="S49" i="6"/>
  <c r="S112" i="6"/>
  <c r="S97" i="6"/>
  <c r="S136" i="6"/>
  <c r="F21" i="7"/>
  <c r="F12" i="7"/>
  <c r="F22" i="7"/>
  <c r="F14" i="7"/>
  <c r="F13" i="7"/>
  <c r="S91" i="6"/>
  <c r="F18" i="7"/>
  <c r="F38" i="7"/>
  <c r="S100" i="6"/>
  <c r="F40" i="7"/>
  <c r="S37" i="6"/>
  <c r="F49" i="7"/>
  <c r="F20" i="7"/>
  <c r="S34" i="6"/>
  <c r="S106" i="6"/>
  <c r="F48" i="7"/>
  <c r="F24" i="7"/>
  <c r="F54" i="7"/>
  <c r="F47" i="7"/>
  <c r="S64" i="6"/>
  <c r="F57" i="7"/>
  <c r="F23" i="7"/>
  <c r="S46" i="6"/>
  <c r="F36" i="7"/>
  <c r="S124" i="6"/>
  <c r="S133" i="6"/>
  <c r="F25" i="7"/>
  <c r="F44" i="7"/>
  <c r="F60" i="7"/>
  <c r="S67" i="6"/>
  <c r="F55" i="7"/>
  <c r="I25" i="8"/>
  <c r="S109" i="6"/>
  <c r="F52" i="7"/>
  <c r="F32" i="7"/>
  <c r="S85" i="6"/>
  <c r="F59" i="7"/>
  <c r="F37" i="7"/>
  <c r="S103" i="6"/>
  <c r="S13" i="6"/>
  <c r="S82" i="6"/>
  <c r="F51" i="7"/>
  <c r="S118" i="6"/>
  <c r="S43" i="6"/>
  <c r="S40" i="6"/>
  <c r="F35" i="7"/>
  <c r="F15" i="7"/>
  <c r="S28" i="6"/>
  <c r="F50" i="7"/>
  <c r="S55" i="6"/>
  <c r="S61" i="6"/>
  <c r="S25" i="6"/>
  <c r="F33" i="7"/>
  <c r="F26" i="7"/>
  <c r="F41" i="7"/>
  <c r="F34" i="7"/>
  <c r="S58" i="6"/>
  <c r="F16" i="7"/>
  <c r="S73" i="6"/>
  <c r="S94" i="6"/>
  <c r="F28" i="7"/>
  <c r="S22" i="6"/>
  <c r="F43" i="7"/>
  <c r="S52" i="6"/>
  <c r="S76" i="6"/>
  <c r="F27" i="7"/>
  <c r="F19" i="7"/>
  <c r="F61" i="7"/>
  <c r="S139" i="6"/>
  <c r="F29" i="7"/>
  <c r="F56" i="7"/>
  <c r="F39" i="7"/>
  <c r="F45" i="7"/>
  <c r="F42" i="7"/>
  <c r="S115" i="6"/>
  <c r="F30" i="7"/>
  <c r="F53" i="7"/>
  <c r="S130" i="6"/>
  <c r="F31" i="7"/>
  <c r="F46" i="7"/>
  <c r="S70" i="6"/>
  <c r="S127" i="6"/>
  <c r="S18" i="6" l="1"/>
  <c r="R21" i="6"/>
  <c r="Q150" i="6"/>
  <c r="G27" i="8"/>
  <c r="H30" i="8"/>
  <c r="I30" i="8" s="1"/>
  <c r="R18" i="7"/>
  <c r="R21" i="7" s="1"/>
  <c r="S21" i="7" s="1"/>
  <c r="Q18" i="7"/>
  <c r="S148" i="6"/>
  <c r="S13" i="7"/>
  <c r="S145" i="6"/>
  <c r="S142" i="6"/>
  <c r="I28" i="8"/>
  <c r="S16" i="7"/>
  <c r="Q153" i="6" l="1"/>
  <c r="S21" i="6"/>
  <c r="R24" i="6"/>
  <c r="G30" i="8"/>
  <c r="H33" i="8"/>
  <c r="I33" i="8" s="1"/>
  <c r="R24" i="7"/>
  <c r="R27" i="7" s="1"/>
  <c r="S18" i="7"/>
  <c r="Q21" i="7"/>
  <c r="I31" i="8"/>
  <c r="S151" i="6"/>
  <c r="S19" i="7"/>
  <c r="S24" i="6" l="1"/>
  <c r="R27" i="6"/>
  <c r="Q156" i="6"/>
  <c r="G33" i="8"/>
  <c r="H36" i="8"/>
  <c r="I36" i="8" s="1"/>
  <c r="S24" i="7"/>
  <c r="Q24" i="7"/>
  <c r="R30" i="7"/>
  <c r="S27" i="7"/>
  <c r="I34" i="8"/>
  <c r="S22" i="7"/>
  <c r="S154" i="6"/>
  <c r="Q159" i="6" l="1"/>
  <c r="S27" i="6"/>
  <c r="R30" i="6"/>
  <c r="H39" i="8"/>
  <c r="I39" i="8" s="1"/>
  <c r="G36" i="8"/>
  <c r="Q27" i="7"/>
  <c r="S30" i="7"/>
  <c r="R33" i="7"/>
  <c r="S160" i="6"/>
  <c r="S157" i="6"/>
  <c r="I37" i="8"/>
  <c r="S25" i="7"/>
  <c r="S30" i="6" l="1"/>
  <c r="R33" i="6"/>
  <c r="G39" i="8"/>
  <c r="H42" i="8"/>
  <c r="I42" i="8" s="1"/>
  <c r="Q30" i="7"/>
  <c r="R36" i="7"/>
  <c r="S33" i="7"/>
  <c r="I40" i="8"/>
  <c r="S28" i="7"/>
  <c r="S33" i="6" l="1"/>
  <c r="R36" i="6"/>
  <c r="H45" i="8"/>
  <c r="I45" i="8" s="1"/>
  <c r="G42" i="8"/>
  <c r="Q33" i="7"/>
  <c r="R39" i="7"/>
  <c r="S36" i="7"/>
  <c r="I43" i="8"/>
  <c r="S31" i="7"/>
  <c r="S36" i="6" l="1"/>
  <c r="R39" i="6"/>
  <c r="G45" i="8"/>
  <c r="H48" i="8"/>
  <c r="I48" i="8" s="1"/>
  <c r="R42" i="7"/>
  <c r="S39" i="7"/>
  <c r="Q36" i="7"/>
  <c r="I46" i="8"/>
  <c r="S34" i="7"/>
  <c r="S39" i="6" l="1"/>
  <c r="R42" i="6"/>
  <c r="H51" i="8"/>
  <c r="I51" i="8" s="1"/>
  <c r="G48" i="8"/>
  <c r="Q39" i="7"/>
  <c r="R45" i="7"/>
  <c r="S42" i="7"/>
  <c r="I49" i="8"/>
  <c r="S37" i="7"/>
  <c r="S42" i="6" l="1"/>
  <c r="R45" i="6"/>
  <c r="G51" i="8"/>
  <c r="H54" i="8"/>
  <c r="I54" i="8" s="1"/>
  <c r="R48" i="7"/>
  <c r="S45" i="7"/>
  <c r="Q42" i="7"/>
  <c r="I52" i="8"/>
  <c r="S40" i="7"/>
  <c r="S45" i="6" l="1"/>
  <c r="R48" i="6"/>
  <c r="H57" i="8"/>
  <c r="I57" i="8" s="1"/>
  <c r="G54" i="8"/>
  <c r="R51" i="7"/>
  <c r="S48" i="7"/>
  <c r="Q45" i="7"/>
  <c r="I55" i="8"/>
  <c r="S43" i="7"/>
  <c r="R51" i="6" l="1"/>
  <c r="S48" i="6"/>
  <c r="G57" i="8"/>
  <c r="H60" i="8"/>
  <c r="I60" i="8" s="1"/>
  <c r="R54" i="7"/>
  <c r="S51" i="7"/>
  <c r="Q48" i="7"/>
  <c r="I58" i="8"/>
  <c r="S46" i="7"/>
  <c r="S51" i="6" l="1"/>
  <c r="R54" i="6"/>
  <c r="H63" i="8"/>
  <c r="I63" i="8" s="1"/>
  <c r="G60" i="8"/>
  <c r="R57" i="7"/>
  <c r="S54" i="7"/>
  <c r="Q51" i="7"/>
  <c r="S49" i="7"/>
  <c r="I61" i="8"/>
  <c r="S54" i="6" l="1"/>
  <c r="R57" i="6"/>
  <c r="G63" i="8"/>
  <c r="H66" i="8"/>
  <c r="I66" i="8" s="1"/>
  <c r="R60" i="7"/>
  <c r="S57" i="7"/>
  <c r="Q54" i="7"/>
  <c r="I64" i="8"/>
  <c r="S52" i="7"/>
  <c r="S57" i="6" l="1"/>
  <c r="R60" i="6"/>
  <c r="H69" i="8"/>
  <c r="I69" i="8" s="1"/>
  <c r="G66" i="8"/>
  <c r="Q57" i="7"/>
  <c r="R63" i="7"/>
  <c r="S60" i="7"/>
  <c r="S55" i="7"/>
  <c r="I67" i="8"/>
  <c r="S60" i="6" l="1"/>
  <c r="R63" i="6"/>
  <c r="G69" i="8"/>
  <c r="H72" i="8"/>
  <c r="I72" i="8" s="1"/>
  <c r="S63" i="7"/>
  <c r="R66" i="7"/>
  <c r="Q60" i="7"/>
  <c r="I70" i="8"/>
  <c r="S58" i="7"/>
  <c r="S63" i="6" l="1"/>
  <c r="R66" i="6"/>
  <c r="H75" i="8"/>
  <c r="I75" i="8" s="1"/>
  <c r="G72" i="8"/>
  <c r="Q63" i="7"/>
  <c r="R69" i="7"/>
  <c r="S66" i="7"/>
  <c r="I73" i="8"/>
  <c r="S61" i="7"/>
  <c r="S66" i="6" l="1"/>
  <c r="R69" i="6"/>
  <c r="G75" i="8"/>
  <c r="H78" i="8"/>
  <c r="I78" i="8" s="1"/>
  <c r="S69" i="7"/>
  <c r="R72" i="7"/>
  <c r="Q66" i="7"/>
  <c r="I76" i="8"/>
  <c r="S64" i="7"/>
  <c r="R72" i="6" l="1"/>
  <c r="S69" i="6"/>
  <c r="G78" i="8"/>
  <c r="H81" i="8"/>
  <c r="I81" i="8" s="1"/>
  <c r="Q69" i="7"/>
  <c r="R75" i="7"/>
  <c r="S72" i="7"/>
  <c r="S67" i="7"/>
  <c r="I79" i="8"/>
  <c r="R75" i="6" l="1"/>
  <c r="S72" i="6"/>
  <c r="H84" i="8"/>
  <c r="I84" i="8" s="1"/>
  <c r="G81" i="8"/>
  <c r="S75" i="7"/>
  <c r="R78" i="7"/>
  <c r="Q72" i="7"/>
  <c r="I82" i="8"/>
  <c r="S70" i="7"/>
  <c r="S75" i="6" l="1"/>
  <c r="R78" i="6"/>
  <c r="G84" i="8"/>
  <c r="H87" i="8"/>
  <c r="I87" i="8" s="1"/>
  <c r="Q75" i="7"/>
  <c r="R81" i="7"/>
  <c r="S78" i="7"/>
  <c r="I85" i="8"/>
  <c r="S73" i="7"/>
  <c r="S78" i="6" l="1"/>
  <c r="R81" i="6"/>
  <c r="H90" i="8"/>
  <c r="I90" i="8" s="1"/>
  <c r="G87" i="8"/>
  <c r="S81" i="7"/>
  <c r="R84" i="7"/>
  <c r="Q78" i="7"/>
  <c r="S76" i="7"/>
  <c r="I88" i="8"/>
  <c r="R84" i="6" l="1"/>
  <c r="S81" i="6"/>
  <c r="G90" i="8"/>
  <c r="H93" i="8"/>
  <c r="I93" i="8" s="1"/>
  <c r="Q81" i="7"/>
  <c r="R87" i="7"/>
  <c r="S84" i="7"/>
  <c r="I91" i="8"/>
  <c r="S79" i="7"/>
  <c r="R87" i="6" l="1"/>
  <c r="S84" i="6"/>
  <c r="H96" i="8"/>
  <c r="I96" i="8" s="1"/>
  <c r="G93" i="8"/>
  <c r="S87" i="7"/>
  <c r="R90" i="7"/>
  <c r="Q84" i="7"/>
  <c r="I94" i="8"/>
  <c r="S82" i="7"/>
  <c r="S87" i="6" l="1"/>
  <c r="R90" i="6"/>
  <c r="G96" i="8"/>
  <c r="H99" i="8"/>
  <c r="I99" i="8" s="1"/>
  <c r="Q87" i="7"/>
  <c r="R93" i="7"/>
  <c r="S90" i="7"/>
  <c r="I97" i="8"/>
  <c r="S85" i="7"/>
  <c r="S90" i="6" l="1"/>
  <c r="R93" i="6"/>
  <c r="H102" i="8"/>
  <c r="I102" i="8" s="1"/>
  <c r="G99" i="8"/>
  <c r="S93" i="7"/>
  <c r="R96" i="7"/>
  <c r="Q90" i="7"/>
  <c r="I100" i="8"/>
  <c r="S88" i="7"/>
  <c r="R96" i="6" l="1"/>
  <c r="S93" i="6"/>
  <c r="G102" i="8"/>
  <c r="H105" i="8"/>
  <c r="I105" i="8" s="1"/>
  <c r="Q93" i="7"/>
  <c r="R99" i="7"/>
  <c r="S96" i="7"/>
  <c r="I103" i="8"/>
  <c r="S91" i="7"/>
  <c r="R99" i="6" l="1"/>
  <c r="S96" i="6"/>
  <c r="H108" i="8"/>
  <c r="I108" i="8" s="1"/>
  <c r="G105" i="8"/>
  <c r="S99" i="7"/>
  <c r="R102" i="7"/>
  <c r="Q96" i="7"/>
  <c r="I106" i="8"/>
  <c r="S94" i="7"/>
  <c r="S99" i="6" l="1"/>
  <c r="R102" i="6"/>
  <c r="G108" i="8"/>
  <c r="H111" i="8"/>
  <c r="I111" i="8" s="1"/>
  <c r="Q99" i="7"/>
  <c r="R105" i="7"/>
  <c r="S102" i="7"/>
  <c r="S97" i="7"/>
  <c r="I109" i="8"/>
  <c r="S102" i="6" l="1"/>
  <c r="R105" i="6"/>
  <c r="H114" i="8"/>
  <c r="I114" i="8" s="1"/>
  <c r="G111" i="8"/>
  <c r="S105" i="7"/>
  <c r="R108" i="7"/>
  <c r="Q102" i="7"/>
  <c r="I112" i="8"/>
  <c r="S100" i="7"/>
  <c r="R108" i="6" l="1"/>
  <c r="S105" i="6"/>
  <c r="G114" i="8"/>
  <c r="H117" i="8"/>
  <c r="I117" i="8" s="1"/>
  <c r="Q105" i="7"/>
  <c r="R111" i="7"/>
  <c r="S108" i="7"/>
  <c r="I115" i="8"/>
  <c r="S103" i="7"/>
  <c r="R111" i="6" l="1"/>
  <c r="S108" i="6"/>
  <c r="H120" i="8"/>
  <c r="I120" i="8" s="1"/>
  <c r="G117" i="8"/>
  <c r="S111" i="7"/>
  <c r="R114" i="7"/>
  <c r="Q108" i="7"/>
  <c r="S106" i="7"/>
  <c r="I118" i="8"/>
  <c r="S111" i="6" l="1"/>
  <c r="R114" i="6"/>
  <c r="G120" i="8"/>
  <c r="H123" i="8"/>
  <c r="I123" i="8" s="1"/>
  <c r="R117" i="7"/>
  <c r="S114" i="7"/>
  <c r="Q111" i="7"/>
  <c r="I121" i="8"/>
  <c r="S109" i="7"/>
  <c r="S114" i="6" l="1"/>
  <c r="R117" i="6"/>
  <c r="H126" i="8"/>
  <c r="I126" i="8" s="1"/>
  <c r="G123" i="8"/>
  <c r="S117" i="7"/>
  <c r="R120" i="7"/>
  <c r="Q114" i="7"/>
  <c r="S112" i="7"/>
  <c r="I124" i="8"/>
  <c r="R120" i="6" l="1"/>
  <c r="S117" i="6"/>
  <c r="G126" i="8"/>
  <c r="H129" i="8"/>
  <c r="I129" i="8" s="1"/>
  <c r="Q117" i="7"/>
  <c r="R123" i="7"/>
  <c r="S120" i="7"/>
  <c r="I127" i="8"/>
  <c r="S115" i="7"/>
  <c r="R123" i="6" l="1"/>
  <c r="S120" i="6"/>
  <c r="H132" i="8"/>
  <c r="I132" i="8" s="1"/>
  <c r="G129" i="8"/>
  <c r="S123" i="7"/>
  <c r="R126" i="7"/>
  <c r="Q120" i="7"/>
  <c r="I130" i="8"/>
  <c r="S118" i="7"/>
  <c r="S123" i="6" l="1"/>
  <c r="R126" i="6"/>
  <c r="G132" i="8"/>
  <c r="H135" i="8"/>
  <c r="I135" i="8" s="1"/>
  <c r="Q123" i="7"/>
  <c r="R129" i="7"/>
  <c r="S126" i="7"/>
  <c r="I133" i="8"/>
  <c r="S121" i="7"/>
  <c r="S126" i="6" l="1"/>
  <c r="R129" i="6"/>
  <c r="H138" i="8"/>
  <c r="I138" i="8" s="1"/>
  <c r="G135" i="8"/>
  <c r="S129" i="7"/>
  <c r="R132" i="7"/>
  <c r="Q126" i="7"/>
  <c r="S124" i="7"/>
  <c r="I136" i="8"/>
  <c r="R132" i="6" l="1"/>
  <c r="S129" i="6"/>
  <c r="G138" i="8"/>
  <c r="H141" i="8"/>
  <c r="I141" i="8" s="1"/>
  <c r="Q129" i="7"/>
  <c r="R135" i="7"/>
  <c r="S132" i="7"/>
  <c r="I139" i="8"/>
  <c r="S127" i="7"/>
  <c r="R135" i="6" l="1"/>
  <c r="S132" i="6"/>
  <c r="H144" i="8"/>
  <c r="I144" i="8" s="1"/>
  <c r="G141" i="8"/>
  <c r="S135" i="7"/>
  <c r="R138" i="7"/>
  <c r="Q132" i="7"/>
  <c r="S130" i="7"/>
  <c r="I142" i="8"/>
  <c r="S135" i="6" l="1"/>
  <c r="R138" i="6"/>
  <c r="G144" i="8"/>
  <c r="H147" i="8"/>
  <c r="I147" i="8" s="1"/>
  <c r="Q135" i="7"/>
  <c r="R141" i="7"/>
  <c r="S138" i="7"/>
  <c r="S133" i="7"/>
  <c r="I145" i="8"/>
  <c r="S138" i="6" l="1"/>
  <c r="R141" i="6"/>
  <c r="H150" i="8"/>
  <c r="I150" i="8" s="1"/>
  <c r="G147" i="8"/>
  <c r="S141" i="7"/>
  <c r="R144" i="7"/>
  <c r="Q138" i="7"/>
  <c r="S136" i="7"/>
  <c r="I148" i="8"/>
  <c r="R144" i="6" l="1"/>
  <c r="S141" i="6"/>
  <c r="G150" i="8"/>
  <c r="H153" i="8"/>
  <c r="I153" i="8" s="1"/>
  <c r="Q141" i="7"/>
  <c r="R147" i="7"/>
  <c r="S144" i="7"/>
  <c r="I151" i="8"/>
  <c r="S139" i="7"/>
  <c r="R147" i="6" l="1"/>
  <c r="S144" i="6"/>
  <c r="H156" i="8"/>
  <c r="I156" i="8" s="1"/>
  <c r="G153" i="8"/>
  <c r="S147" i="7"/>
  <c r="R150" i="7"/>
  <c r="Q144" i="7"/>
  <c r="I154" i="8"/>
  <c r="S142" i="7"/>
  <c r="S147" i="6" l="1"/>
  <c r="R150" i="6"/>
  <c r="G156" i="8"/>
  <c r="H159" i="8"/>
  <c r="I159" i="8" s="1"/>
  <c r="Q147" i="7"/>
  <c r="R153" i="7"/>
  <c r="S150" i="7"/>
  <c r="S145" i="7"/>
  <c r="I157" i="8"/>
  <c r="R153" i="6" l="1"/>
  <c r="S150" i="6"/>
  <c r="G159" i="8"/>
  <c r="S153" i="7"/>
  <c r="R156" i="7"/>
  <c r="Q150" i="7"/>
  <c r="S148" i="7"/>
  <c r="I160" i="8"/>
  <c r="R156" i="6" l="1"/>
  <c r="S153" i="6"/>
  <c r="Q153" i="7"/>
  <c r="R159" i="7"/>
  <c r="S159" i="7" s="1"/>
  <c r="S156" i="7"/>
  <c r="S151" i="7"/>
  <c r="S156" i="6" l="1"/>
  <c r="R159" i="6"/>
  <c r="S159" i="6" s="1"/>
  <c r="Q156" i="7"/>
  <c r="S154" i="7"/>
  <c r="Q159" i="7" l="1"/>
  <c r="H16" i="5"/>
  <c r="H20" i="5" s="1"/>
  <c r="I16" i="5"/>
  <c r="J16" i="5" s="1"/>
  <c r="J12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13" i="5"/>
  <c r="F12" i="5"/>
  <c r="J18" i="5"/>
  <c r="J14" i="5"/>
  <c r="S160" i="7"/>
  <c r="J17" i="5"/>
  <c r="J13" i="5"/>
  <c r="K15" i="5"/>
  <c r="S157" i="7"/>
  <c r="H24" i="5" l="1"/>
  <c r="I20" i="5"/>
  <c r="K12" i="5"/>
  <c r="J21" i="5"/>
  <c r="J20" i="5" l="1"/>
  <c r="H28" i="5"/>
  <c r="I24" i="5"/>
  <c r="I28" i="5"/>
  <c r="J22" i="5"/>
  <c r="J25" i="5"/>
  <c r="J28" i="5" l="1"/>
  <c r="J24" i="5"/>
  <c r="H32" i="5"/>
  <c r="I32" i="5"/>
  <c r="J29" i="5"/>
  <c r="J30" i="5"/>
  <c r="J26" i="5"/>
  <c r="H36" i="5" l="1"/>
  <c r="J32" i="5"/>
  <c r="I36" i="5"/>
  <c r="J34" i="5"/>
  <c r="J33" i="5"/>
  <c r="J36" i="5" l="1"/>
  <c r="H40" i="5"/>
  <c r="I40" i="5"/>
  <c r="J38" i="5"/>
  <c r="J37" i="5"/>
  <c r="H44" i="5" l="1"/>
  <c r="J40" i="5"/>
  <c r="I44" i="5"/>
  <c r="J41" i="5"/>
  <c r="J42" i="5"/>
  <c r="J44" i="5" l="1"/>
  <c r="H48" i="5"/>
  <c r="I48" i="5"/>
  <c r="J46" i="5"/>
  <c r="J45" i="5"/>
  <c r="J48" i="5" l="1"/>
  <c r="H52" i="5"/>
  <c r="I52" i="5"/>
  <c r="J50" i="5"/>
  <c r="J49" i="5"/>
  <c r="J52" i="5" l="1"/>
  <c r="H56" i="5"/>
  <c r="I56" i="5"/>
  <c r="J54" i="5"/>
  <c r="J53" i="5"/>
  <c r="J56" i="5" l="1"/>
  <c r="H60" i="5"/>
  <c r="I60" i="5"/>
  <c r="J58" i="5"/>
  <c r="J57" i="5"/>
  <c r="H64" i="5" l="1"/>
  <c r="J60" i="5"/>
  <c r="I64" i="5"/>
  <c r="J61" i="5"/>
  <c r="J62" i="5"/>
  <c r="I68" i="5" l="1"/>
  <c r="J64" i="5"/>
  <c r="H68" i="5"/>
  <c r="I72" i="5"/>
  <c r="J65" i="5"/>
  <c r="J66" i="5"/>
  <c r="H72" i="5" l="1"/>
  <c r="J72" i="5"/>
  <c r="J68" i="5"/>
  <c r="I76" i="5"/>
  <c r="J70" i="5"/>
  <c r="J69" i="5"/>
  <c r="J74" i="5"/>
  <c r="J76" i="5" l="1"/>
  <c r="H76" i="5"/>
  <c r="I80" i="5"/>
  <c r="J73" i="5"/>
  <c r="H80" i="5" l="1"/>
  <c r="J80" i="5"/>
  <c r="I84" i="5"/>
  <c r="J78" i="5"/>
  <c r="J77" i="5"/>
  <c r="J82" i="5"/>
  <c r="J84" i="5" l="1"/>
  <c r="H84" i="5"/>
  <c r="I88" i="5"/>
  <c r="J81" i="5"/>
  <c r="H88" i="5" l="1"/>
  <c r="J88" i="5"/>
  <c r="I92" i="5"/>
  <c r="J86" i="5"/>
  <c r="J85" i="5"/>
  <c r="J90" i="5"/>
  <c r="J92" i="5" l="1"/>
  <c r="H92" i="5"/>
  <c r="I96" i="5"/>
  <c r="J89" i="5"/>
  <c r="J96" i="5" l="1"/>
  <c r="H96" i="5"/>
  <c r="I100" i="5"/>
  <c r="J94" i="5"/>
  <c r="J93" i="5"/>
  <c r="H100" i="5" l="1"/>
  <c r="J100" i="5"/>
  <c r="I104" i="5"/>
  <c r="J98" i="5"/>
  <c r="J97" i="5"/>
  <c r="J102" i="5"/>
  <c r="J104" i="5" l="1"/>
  <c r="H104" i="5"/>
  <c r="I108" i="5"/>
  <c r="J101" i="5"/>
  <c r="J108" i="5" l="1"/>
  <c r="H108" i="5"/>
  <c r="I112" i="5"/>
  <c r="J105" i="5"/>
  <c r="J106" i="5"/>
  <c r="H112" i="5" l="1"/>
  <c r="J112" i="5"/>
  <c r="I116" i="5"/>
  <c r="J110" i="5"/>
  <c r="J109" i="5"/>
  <c r="J114" i="5"/>
  <c r="J116" i="5" l="1"/>
  <c r="H116" i="5"/>
  <c r="I120" i="5"/>
  <c r="J113" i="5"/>
  <c r="J118" i="5"/>
  <c r="J120" i="5" l="1"/>
  <c r="H120" i="5"/>
  <c r="I124" i="5"/>
  <c r="J117" i="5"/>
  <c r="H124" i="5" l="1"/>
  <c r="J124" i="5"/>
  <c r="I128" i="5"/>
  <c r="J126" i="5"/>
  <c r="J122" i="5"/>
  <c r="J121" i="5"/>
  <c r="J128" i="5" l="1"/>
  <c r="H128" i="5"/>
  <c r="I132" i="5"/>
  <c r="J125" i="5"/>
  <c r="H132" i="5" l="1"/>
  <c r="J132" i="5"/>
  <c r="I136" i="5"/>
  <c r="J130" i="5"/>
  <c r="J134" i="5"/>
  <c r="J129" i="5"/>
  <c r="J136" i="5" l="1"/>
  <c r="H136" i="5"/>
  <c r="I140" i="5"/>
  <c r="J133" i="5"/>
  <c r="H140" i="5" l="1"/>
  <c r="J140" i="5"/>
  <c r="I144" i="5"/>
  <c r="J138" i="5"/>
  <c r="J137" i="5"/>
  <c r="J142" i="5"/>
  <c r="J144" i="5" l="1"/>
  <c r="H144" i="5"/>
  <c r="I148" i="5"/>
  <c r="J141" i="5"/>
  <c r="H148" i="5" l="1"/>
  <c r="J148" i="5"/>
  <c r="I152" i="5"/>
  <c r="J146" i="5"/>
  <c r="J145" i="5"/>
  <c r="J150" i="5"/>
  <c r="J152" i="5" l="1"/>
  <c r="H152" i="5"/>
  <c r="I156" i="5"/>
  <c r="J149" i="5"/>
  <c r="J156" i="5" l="1"/>
  <c r="H156" i="5"/>
  <c r="I160" i="5"/>
  <c r="J154" i="5"/>
  <c r="J153" i="5"/>
  <c r="H160" i="5" l="1"/>
  <c r="J160" i="5"/>
  <c r="I164" i="5"/>
  <c r="J158" i="5"/>
  <c r="J157" i="5"/>
  <c r="J162" i="5"/>
  <c r="J164" i="5" l="1"/>
  <c r="H164" i="5"/>
  <c r="I168" i="5"/>
  <c r="J161" i="5"/>
  <c r="H168" i="5" l="1"/>
  <c r="J168" i="5"/>
  <c r="I172" i="5"/>
  <c r="J166" i="5"/>
  <c r="J165" i="5"/>
  <c r="J170" i="5"/>
  <c r="J172" i="5" l="1"/>
  <c r="H172" i="5"/>
  <c r="I176" i="5"/>
  <c r="J169" i="5"/>
  <c r="H176" i="5" l="1"/>
  <c r="J176" i="5"/>
  <c r="I180" i="5"/>
  <c r="J178" i="5"/>
  <c r="J173" i="5"/>
  <c r="J174" i="5"/>
  <c r="J180" i="5" l="1"/>
  <c r="H180" i="5"/>
  <c r="I184" i="5"/>
  <c r="J177" i="5"/>
  <c r="J184" i="5" l="1"/>
  <c r="H184" i="5"/>
  <c r="I188" i="5"/>
  <c r="J182" i="5"/>
  <c r="J186" i="5"/>
  <c r="J181" i="5"/>
  <c r="H188" i="5" l="1"/>
  <c r="J188" i="5"/>
  <c r="I192" i="5"/>
  <c r="J185" i="5"/>
  <c r="J190" i="5"/>
  <c r="J192" i="5" l="1"/>
  <c r="H192" i="5"/>
  <c r="I196" i="5"/>
  <c r="J189" i="5"/>
  <c r="H196" i="5" l="1"/>
  <c r="J196" i="5"/>
  <c r="I200" i="5"/>
  <c r="J194" i="5"/>
  <c r="J198" i="5"/>
  <c r="J193" i="5"/>
  <c r="J200" i="5" l="1"/>
  <c r="H200" i="5"/>
  <c r="I204" i="5"/>
  <c r="J197" i="5"/>
  <c r="J204" i="5" l="1"/>
  <c r="H204" i="5"/>
  <c r="I208" i="5"/>
  <c r="J202" i="5"/>
  <c r="J201" i="5"/>
  <c r="H208" i="5" l="1"/>
  <c r="J208" i="5"/>
  <c r="J209" i="5"/>
  <c r="J206" i="5"/>
  <c r="J205" i="5"/>
  <c r="J210" i="5"/>
</calcChain>
</file>

<file path=xl/sharedStrings.xml><?xml version="1.0" encoding="utf-8"?>
<sst xmlns="http://schemas.openxmlformats.org/spreadsheetml/2006/main" count="628" uniqueCount="255">
  <si>
    <t>LOGIN</t>
  </si>
  <si>
    <t xml:space="preserve">NOME </t>
  </si>
  <si>
    <t>Vendedor</t>
  </si>
  <si>
    <t>QTDE</t>
  </si>
  <si>
    <t>Pedro Souza</t>
  </si>
  <si>
    <t>Administrador</t>
  </si>
  <si>
    <t>Luiz Fernando de Araujo</t>
  </si>
  <si>
    <t>Administrador do Sistema</t>
  </si>
  <si>
    <t>Jose Pinheiro de Melo</t>
  </si>
  <si>
    <t>Vicente do Amaral Pedroso</t>
  </si>
  <si>
    <t>Anderson Andrade Junqueira</t>
  </si>
  <si>
    <t>Marisa Pereira</t>
  </si>
  <si>
    <t>Daniela da Costa Rodrigues</t>
  </si>
  <si>
    <t>Antônio da Silva Junior</t>
  </si>
  <si>
    <t>Carlos Correia da Silva</t>
  </si>
  <si>
    <t>Pedro Camargo</t>
  </si>
  <si>
    <t>Augusto de Melo</t>
  </si>
  <si>
    <t>Antônio Rabelo</t>
  </si>
  <si>
    <t>Augusto da Silva</t>
  </si>
  <si>
    <t>Nicolas Vieira</t>
  </si>
  <si>
    <t>Mauro Andrade</t>
  </si>
  <si>
    <t>Roberto Souza</t>
  </si>
  <si>
    <t>Priscila Camargo de Melo</t>
  </si>
  <si>
    <t>Joaquim Teixeira</t>
  </si>
  <si>
    <t>Rogerio Saraiva</t>
  </si>
  <si>
    <t>Miguel Duarte</t>
  </si>
  <si>
    <t>Thais Santos</t>
  </si>
  <si>
    <t>Luana de Melo</t>
  </si>
  <si>
    <t>Rodrigo da Silva</t>
  </si>
  <si>
    <t>Manoel Calixto</t>
  </si>
  <si>
    <t>Ruan Gomes</t>
  </si>
  <si>
    <t>Eduardo Ferreira</t>
  </si>
  <si>
    <t>Alberto Covas</t>
  </si>
  <si>
    <t>Bruno Moura</t>
  </si>
  <si>
    <t>Fernando Pereira</t>
  </si>
  <si>
    <t>Israel Mendes</t>
  </si>
  <si>
    <t>Juliana Araujo</t>
  </si>
  <si>
    <t>Tadeu Fernandes da Silva</t>
  </si>
  <si>
    <t>Maria Aparecida</t>
  </si>
  <si>
    <t>Giovana Santos</t>
  </si>
  <si>
    <t>Roberta Oliveira</t>
  </si>
  <si>
    <t>Rodrigo Souza</t>
  </si>
  <si>
    <t>Carlos Rodrigues</t>
  </si>
  <si>
    <t>Wellington Henrique</t>
  </si>
  <si>
    <t>Andre Nunes</t>
  </si>
  <si>
    <t>Israel Neves</t>
  </si>
  <si>
    <t>Carlos Antunes</t>
  </si>
  <si>
    <t>Marcos Oliveira</t>
  </si>
  <si>
    <t>Giovane Matos</t>
  </si>
  <si>
    <t>Guilherme Cardoso</t>
  </si>
  <si>
    <t>Lucas Nunes</t>
  </si>
  <si>
    <t>Pedro Henrique</t>
  </si>
  <si>
    <t>Manoel Miranda</t>
  </si>
  <si>
    <t>Carlos Eduardo Menezes</t>
  </si>
  <si>
    <t>Patricia Correia da Silva</t>
  </si>
  <si>
    <t>admin</t>
  </si>
  <si>
    <t>luizf</t>
  </si>
  <si>
    <t>pedro2</t>
  </si>
  <si>
    <t>pedro1</t>
  </si>
  <si>
    <t>antonio2</t>
  </si>
  <si>
    <t>antonio1</t>
  </si>
  <si>
    <t>augusto2</t>
  </si>
  <si>
    <t>augusto1</t>
  </si>
  <si>
    <t>jose1</t>
  </si>
  <si>
    <t>vicente1</t>
  </si>
  <si>
    <t>marisa1</t>
  </si>
  <si>
    <t>anderson1</t>
  </si>
  <si>
    <t>daniela1</t>
  </si>
  <si>
    <t>carlos1</t>
  </si>
  <si>
    <t>nicolas1</t>
  </si>
  <si>
    <t>mauro1</t>
  </si>
  <si>
    <t>roberto1</t>
  </si>
  <si>
    <t>priscila1</t>
  </si>
  <si>
    <t>joaquim1</t>
  </si>
  <si>
    <t>rogerio1</t>
  </si>
  <si>
    <t>miguel1</t>
  </si>
  <si>
    <t>thais1</t>
  </si>
  <si>
    <t>luana1</t>
  </si>
  <si>
    <t>rodrigo1</t>
  </si>
  <si>
    <t>manoel1</t>
  </si>
  <si>
    <t>ruan1</t>
  </si>
  <si>
    <t>eduardo1</t>
  </si>
  <si>
    <t>alberto1</t>
  </si>
  <si>
    <t>bruno1</t>
  </si>
  <si>
    <t>fernando1</t>
  </si>
  <si>
    <t>israel1</t>
  </si>
  <si>
    <t>juliana1</t>
  </si>
  <si>
    <t>tadeu1</t>
  </si>
  <si>
    <t>maria1</t>
  </si>
  <si>
    <t>giovana1</t>
  </si>
  <si>
    <t>roberta1</t>
  </si>
  <si>
    <t>rodrigo2</t>
  </si>
  <si>
    <t>carlos2</t>
  </si>
  <si>
    <t>wellington1</t>
  </si>
  <si>
    <t>andre1</t>
  </si>
  <si>
    <t>israel2</t>
  </si>
  <si>
    <t>marcos1</t>
  </si>
  <si>
    <t>giovane1</t>
  </si>
  <si>
    <t>guilherme1</t>
  </si>
  <si>
    <t>lucas1</t>
  </si>
  <si>
    <t>manoel2</t>
  </si>
  <si>
    <t>patricia1</t>
  </si>
  <si>
    <t>QTDE LOG.</t>
  </si>
  <si>
    <t>carlos3</t>
  </si>
  <si>
    <t>pedro3</t>
  </si>
  <si>
    <t>carlos4</t>
  </si>
  <si>
    <t xml:space="preserve">-- </t>
  </si>
  <si>
    <t>INSERT INTO public.usuarios(id_usuario, nome, nivel_acesso) values (</t>
  </si>
  <si>
    <t>CARGO</t>
  </si>
  <si>
    <t>INSERT INTO public.acessos(login, senha) values ('</t>
  </si>
  <si>
    <t>, '</t>
  </si>
  <si>
    <t>', '</t>
  </si>
  <si>
    <t>');</t>
  </si>
  <si>
    <t>SQL INSERTS</t>
  </si>
  <si>
    <t>h12</t>
  </si>
  <si>
    <t>http://www.calcprofi.com/pt/gerador-de-numeros-de-telefone-aleatorio.html</t>
  </si>
  <si>
    <t>LOGRADOUROS</t>
  </si>
  <si>
    <t xml:space="preserve"> http://www.4devs.com.br/gerador_de_cnpj</t>
  </si>
  <si>
    <t xml:space="preserve"> http://www.geradordecnpj.org/</t>
  </si>
  <si>
    <t xml:space="preserve">R. </t>
  </si>
  <si>
    <t>INSERT INTO public.fornecedores(nome, cnpj, telefone, email, rua, numero, cidade, estado) VALUES ('</t>
  </si>
  <si>
    <t xml:space="preserve">Av. </t>
  </si>
  <si>
    <t xml:space="preserve">Pç. </t>
  </si>
  <si>
    <t xml:space="preserve">R. Prof. </t>
  </si>
  <si>
    <t>CNPJ</t>
  </si>
  <si>
    <t>TELEFONE</t>
  </si>
  <si>
    <t>EMAIL</t>
  </si>
  <si>
    <t>RUA</t>
  </si>
  <si>
    <t>NUMERO</t>
  </si>
  <si>
    <t>CIDADE</t>
  </si>
  <si>
    <t>ESTADO</t>
  </si>
  <si>
    <t>QT CNPJ</t>
  </si>
  <si>
    <t>QT NUM CNPJ</t>
  </si>
  <si>
    <t>QT NUM TEL</t>
  </si>
  <si>
    <t>Mario Cardoso de Melo</t>
  </si>
  <si>
    <t>Sorocaba</t>
  </si>
  <si>
    <t>SP</t>
  </si>
  <si>
    <t>Luiz Carlos de Campos</t>
  </si>
  <si>
    <t>Pilar do Sul</t>
  </si>
  <si>
    <t>Henrique Souza</t>
  </si>
  <si>
    <t>Rio de Janeiro</t>
  </si>
  <si>
    <t>RJ</t>
  </si>
  <si>
    <t>Nova Iguaçu</t>
  </si>
  <si>
    <t>Vicente do Amaral Neto</t>
  </si>
  <si>
    <t>Blumenau</t>
  </si>
  <si>
    <t>SC</t>
  </si>
  <si>
    <t>Porto Alegre</t>
  </si>
  <si>
    <t>PR</t>
  </si>
  <si>
    <t>Bom Jardim</t>
  </si>
  <si>
    <t>PE</t>
  </si>
  <si>
    <t>Tabatinga</t>
  </si>
  <si>
    <t>AM</t>
  </si>
  <si>
    <t>Antônio da Albuquerque Junior</t>
  </si>
  <si>
    <t>Brasileia</t>
  </si>
  <si>
    <t>AC</t>
  </si>
  <si>
    <t>Carlos Correia da Albuquerque</t>
  </si>
  <si>
    <t>Bom Jesus</t>
  </si>
  <si>
    <t>RN</t>
  </si>
  <si>
    <t>Henrique Camargo</t>
  </si>
  <si>
    <t>Salgado</t>
  </si>
  <si>
    <t>SE</t>
  </si>
  <si>
    <t>Verendina</t>
  </si>
  <si>
    <t>MG</t>
  </si>
  <si>
    <t>Jurema</t>
  </si>
  <si>
    <t>PI</t>
  </si>
  <si>
    <t>Augusto da Albuquerque</t>
  </si>
  <si>
    <t>Alto Alegre</t>
  </si>
  <si>
    <t>RR</t>
  </si>
  <si>
    <t>Mairinque</t>
  </si>
  <si>
    <t>Niterói</t>
  </si>
  <si>
    <t xml:space="preserve"> </t>
  </si>
  <si>
    <t>Petropólis</t>
  </si>
  <si>
    <t>Serra Alta</t>
  </si>
  <si>
    <t>Ponta Grossa</t>
  </si>
  <si>
    <t>Itamaraca</t>
  </si>
  <si>
    <t>Thais Pereira</t>
  </si>
  <si>
    <t>Manaus</t>
  </si>
  <si>
    <t>Xapuri</t>
  </si>
  <si>
    <t>Rodrigo da Albuquerque</t>
  </si>
  <si>
    <t>Jandaira</t>
  </si>
  <si>
    <t>Tobias Barreto</t>
  </si>
  <si>
    <t>Uruana</t>
  </si>
  <si>
    <t>GO</t>
  </si>
  <si>
    <t>Teresina</t>
  </si>
  <si>
    <t>Pacaraima</t>
  </si>
  <si>
    <t>Tadeu Fernandes da Albuquerque</t>
  </si>
  <si>
    <t>Maria Arruda</t>
  </si>
  <si>
    <t>Giovana Pereira</t>
  </si>
  <si>
    <t>Roberta da Silva Santos</t>
  </si>
  <si>
    <t>Marcos da Silva Santos</t>
  </si>
  <si>
    <t>Henrique Menezes</t>
  </si>
  <si>
    <t>Patricia Correia da Albuquerque</t>
  </si>
  <si>
    <t>CPF</t>
  </si>
  <si>
    <t>http://www.4devs.com.br/gerador_de_cpf</t>
  </si>
  <si>
    <t>https://www.geradordecpf.org/</t>
  </si>
  <si>
    <t>INSERT INTO public.clientes(nome, cpf, telefone, email, rua, numero, cidade, estado) VALUES ('</t>
  </si>
  <si>
    <t>CATEGORIA</t>
  </si>
  <si>
    <t>PRECO</t>
  </si>
  <si>
    <t>FORNEDOR_ID</t>
  </si>
  <si>
    <t>INSERT INTO public.produtos(nome, categoria, preco, fornecedor_id) VALUES ('</t>
  </si>
  <si>
    <t>Mouse</t>
  </si>
  <si>
    <t>Teclado</t>
  </si>
  <si>
    <t>Informática</t>
  </si>
  <si>
    <t>Cabo VGA</t>
  </si>
  <si>
    <t>Monitor LCD</t>
  </si>
  <si>
    <t>Monitor LED</t>
  </si>
  <si>
    <t>Notebook</t>
  </si>
  <si>
    <t>Martelo</t>
  </si>
  <si>
    <t>Serrote</t>
  </si>
  <si>
    <t>Ferramenta</t>
  </si>
  <si>
    <t>Compressor</t>
  </si>
  <si>
    <t>Alicate</t>
  </si>
  <si>
    <t>Esmeril</t>
  </si>
  <si>
    <t>Arroz</t>
  </si>
  <si>
    <t>Feijão</t>
  </si>
  <si>
    <t>Alimento</t>
  </si>
  <si>
    <t>Macarrão</t>
  </si>
  <si>
    <t>Óleo</t>
  </si>
  <si>
    <t>Vinagre</t>
  </si>
  <si>
    <t>Açucar</t>
  </si>
  <si>
    <t>Sal</t>
  </si>
  <si>
    <t>Caderno</t>
  </si>
  <si>
    <t>Papelaria</t>
  </si>
  <si>
    <t>Borracha</t>
  </si>
  <si>
    <t>Livro</t>
  </si>
  <si>
    <t>Fita Isolante</t>
  </si>
  <si>
    <t>Durex</t>
  </si>
  <si>
    <t>Blusa</t>
  </si>
  <si>
    <t>Roupa</t>
  </si>
  <si>
    <t>Calça Jeans</t>
  </si>
  <si>
    <t>Camisa Regata</t>
  </si>
  <si>
    <t>Bermuda</t>
  </si>
  <si>
    <t>Calça moleton</t>
  </si>
  <si>
    <t>Camiseta</t>
  </si>
  <si>
    <t>Camiseta Metallica</t>
  </si>
  <si>
    <t>Camiseta Iron Mainden</t>
  </si>
  <si>
    <t>Camiseta AC/DC</t>
  </si>
  <si>
    <t>Blusa com Capuz</t>
  </si>
  <si>
    <t>Meias</t>
  </si>
  <si>
    <t>Sapato</t>
  </si>
  <si>
    <t>Calçado</t>
  </si>
  <si>
    <t>Chinelo</t>
  </si>
  <si>
    <t>Tênnis</t>
  </si>
  <si>
    <t>Teclado sem fio</t>
  </si>
  <si>
    <t>Notebook DELL</t>
  </si>
  <si>
    <t>Notebook HP</t>
  </si>
  <si>
    <t>Notebook Acer</t>
  </si>
  <si>
    <t>Computador DELL</t>
  </si>
  <si>
    <t>Computador HP</t>
  </si>
  <si>
    <t>Notebook Positivo</t>
  </si>
  <si>
    <t>Computador Positivo</t>
  </si>
  <si>
    <t>Computador Acer</t>
  </si>
  <si>
    <t>Chave de Fenda</t>
  </si>
  <si>
    <t>Chava Philipis</t>
  </si>
  <si>
    <t>Chave Allen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</si>
</sst>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1" fillId="3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0" fillId="0" borderId="1" xfId="0" quotePrefix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5" fillId="7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1" fontId="1" fillId="3" borderId="1" xfId="0" applyNumberFormat="1" applyFont="1" applyFill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5" tint="0.59999389629810485"/>
  </sheetPr>
  <dimension ref="A2:L210"/>
  <sheetViews>
    <sheetView showGridLines="0" tabSelected="1" zoomScaleNormal="100" workbookViewId="0">
      <selection activeCell="H24" sqref="H24"/>
    </sheetView>
  </sheetViews>
  <sheetFormatPr defaultRowHeight="15" x14ac:dyDescent="0.25"/>
  <cols>
    <col min="1" max="1" width="9.140625" style="1"/>
    <col min="2" max="2" width="44.28515625" style="5" customWidth="1"/>
    <col min="3" max="4" width="15" style="5" customWidth="1"/>
    <col min="5" max="5" width="1.7109375" style="1" customWidth="1"/>
    <col min="6" max="6" width="10.42578125" style="1" bestFit="1" customWidth="1"/>
    <col min="7" max="9" width="9.140625" style="1"/>
    <col min="10" max="10" width="107.140625" style="5" bestFit="1" customWidth="1"/>
    <col min="11" max="16384" width="9.140625" style="1"/>
  </cols>
  <sheetData>
    <row r="2" spans="1:11" x14ac:dyDescent="0.25">
      <c r="J2" s="13" t="s">
        <v>106</v>
      </c>
    </row>
    <row r="3" spans="1:11" x14ac:dyDescent="0.25">
      <c r="J3" s="14" t="s">
        <v>109</v>
      </c>
    </row>
    <row r="4" spans="1:11" x14ac:dyDescent="0.25">
      <c r="J4" s="14" t="s">
        <v>107</v>
      </c>
    </row>
    <row r="5" spans="1:11" x14ac:dyDescent="0.25">
      <c r="J5" s="13" t="s">
        <v>111</v>
      </c>
    </row>
    <row r="6" spans="1:11" x14ac:dyDescent="0.25">
      <c r="J6" s="13" t="s">
        <v>110</v>
      </c>
    </row>
    <row r="7" spans="1:11" x14ac:dyDescent="0.25">
      <c r="J7" s="13" t="s">
        <v>112</v>
      </c>
    </row>
    <row r="8" spans="1:11" x14ac:dyDescent="0.25">
      <c r="J8" s="14">
        <v>123</v>
      </c>
    </row>
    <row r="10" spans="1:11" ht="24" customHeight="1" x14ac:dyDescent="0.25">
      <c r="A10" s="6" t="s">
        <v>3</v>
      </c>
      <c r="B10" s="6" t="s">
        <v>1</v>
      </c>
      <c r="C10" s="6" t="s">
        <v>0</v>
      </c>
      <c r="D10" s="6" t="s">
        <v>108</v>
      </c>
      <c r="F10" s="6" t="s">
        <v>102</v>
      </c>
      <c r="J10" s="6" t="s">
        <v>113</v>
      </c>
    </row>
    <row r="11" spans="1:11" customFormat="1" ht="6.75" customHeight="1" x14ac:dyDescent="0.25">
      <c r="J11" s="2"/>
    </row>
    <row r="12" spans="1:11" x14ac:dyDescent="0.25">
      <c r="A12" s="7">
        <v>1</v>
      </c>
      <c r="B12" s="3" t="s">
        <v>7</v>
      </c>
      <c r="C12" s="3" t="s">
        <v>55</v>
      </c>
      <c r="D12" s="3" t="s">
        <v>5</v>
      </c>
      <c r="F12" s="10" t="str">
        <f>IF(COUNTIF($C$12:$C$61,C12)&gt;1,COUNTIF($C$12:$C$61,C12),"-")</f>
        <v>-</v>
      </c>
      <c r="H12" s="15">
        <v>12</v>
      </c>
      <c r="I12" s="15">
        <v>1</v>
      </c>
      <c r="J12" s="8" t="str">
        <f>CONCATENATE($J$2,I12)</f>
        <v>-- 1</v>
      </c>
      <c r="K12" s="1">
        <f>MATCH(I16,I10:I27)</f>
        <v>7</v>
      </c>
    </row>
    <row r="13" spans="1:11" x14ac:dyDescent="0.25">
      <c r="A13" s="7">
        <v>2</v>
      </c>
      <c r="B13" s="4" t="s">
        <v>6</v>
      </c>
      <c r="C13" s="4" t="s">
        <v>56</v>
      </c>
      <c r="D13" s="4" t="s">
        <v>5</v>
      </c>
      <c r="F13" s="9" t="str">
        <f>IF(COUNTIF($C$12:$C$61,C13)&gt;1,COUNTIF($C$12:$C$61,C13),"-")</f>
        <v>-</v>
      </c>
      <c r="J13" s="8" t="str">
        <f ca="1">CONCATENATE($J$3,INDIRECT(CONCATENATE("C",H12)), $J$5, $J$8,$J$7)</f>
        <v>INSERT INTO public.acessos(login, senha) values ('admin', '123');</v>
      </c>
    </row>
    <row r="14" spans="1:11" x14ac:dyDescent="0.25">
      <c r="A14" s="7">
        <v>3</v>
      </c>
      <c r="B14" s="3" t="s">
        <v>4</v>
      </c>
      <c r="C14" s="3" t="s">
        <v>58</v>
      </c>
      <c r="D14" s="3" t="s">
        <v>5</v>
      </c>
      <c r="F14" s="10" t="str">
        <f t="shared" ref="F14:F61" si="0">IF(COUNTIF($C$12:$C$61,C14)&gt;1,COUNTIF($C$12:$C$61,C14),"-")</f>
        <v>-</v>
      </c>
      <c r="J14" s="8" t="str">
        <f ca="1">CONCATENATE($J$4,I12, $J$6, INDIRECT(CONCATENATE("B",H12)),$J$5,INDIRECT(CONCATENATE("D",H12)),$J$7)</f>
        <v>INSERT INTO public.usuarios(id_usuario, nome, nivel_acesso) values (1, 'Administrador do Sistema', 'Administrador');</v>
      </c>
      <c r="K14" s="1" t="s">
        <v>114</v>
      </c>
    </row>
    <row r="15" spans="1:11" x14ac:dyDescent="0.25">
      <c r="A15" s="7">
        <v>4</v>
      </c>
      <c r="B15" s="4" t="s">
        <v>8</v>
      </c>
      <c r="C15" s="4" t="s">
        <v>63</v>
      </c>
      <c r="D15" s="4" t="s">
        <v>2</v>
      </c>
      <c r="F15" s="9" t="str">
        <f t="shared" si="0"/>
        <v>-</v>
      </c>
      <c r="J15" s="8"/>
      <c r="K15" s="1">
        <f ca="1">INDIRECT(K14)</f>
        <v>12</v>
      </c>
    </row>
    <row r="16" spans="1:11" x14ac:dyDescent="0.25">
      <c r="A16" s="7">
        <v>5</v>
      </c>
      <c r="B16" s="3" t="s">
        <v>9</v>
      </c>
      <c r="C16" s="3" t="s">
        <v>64</v>
      </c>
      <c r="D16" s="3" t="s">
        <v>2</v>
      </c>
      <c r="F16" s="10" t="str">
        <f t="shared" si="0"/>
        <v>-</v>
      </c>
      <c r="H16" s="15">
        <f>H12+1</f>
        <v>13</v>
      </c>
      <c r="I16" s="15">
        <f>I12+1</f>
        <v>2</v>
      </c>
      <c r="J16" s="8" t="str">
        <f t="shared" ref="J16" si="1">CONCATENATE($J$2,I16)</f>
        <v>-- 2</v>
      </c>
    </row>
    <row r="17" spans="1:12" x14ac:dyDescent="0.25">
      <c r="A17" s="7">
        <v>6</v>
      </c>
      <c r="B17" s="4" t="s">
        <v>11</v>
      </c>
      <c r="C17" s="4" t="s">
        <v>65</v>
      </c>
      <c r="D17" s="4" t="s">
        <v>2</v>
      </c>
      <c r="F17" s="9" t="str">
        <f t="shared" si="0"/>
        <v>-</v>
      </c>
      <c r="J17" s="8" t="str">
        <f t="shared" ref="J17" ca="1" si="2">CONCATENATE($J$3,INDIRECT(CONCATENATE("C",H16)), $J$5, $J$8,$J$7)</f>
        <v>INSERT INTO public.acessos(login, senha) values ('luizf', '123');</v>
      </c>
    </row>
    <row r="18" spans="1:12" x14ac:dyDescent="0.25">
      <c r="A18" s="7">
        <v>7</v>
      </c>
      <c r="B18" s="3" t="s">
        <v>10</v>
      </c>
      <c r="C18" s="3" t="s">
        <v>66</v>
      </c>
      <c r="D18" s="3" t="s">
        <v>2</v>
      </c>
      <c r="F18" s="10" t="str">
        <f t="shared" si="0"/>
        <v>-</v>
      </c>
      <c r="J18" s="8" t="str">
        <f t="shared" ref="J18" ca="1" si="3">CONCATENATE($J$4,I16, $J$6, INDIRECT(CONCATENATE("B",H16)),$J$5,INDIRECT(CONCATENATE("D",H16)),$J$7)</f>
        <v>INSERT INTO public.usuarios(id_usuario, nome, nivel_acesso) values (2, 'Luiz Fernando de Araujo', 'Administrador');</v>
      </c>
    </row>
    <row r="19" spans="1:12" x14ac:dyDescent="0.25">
      <c r="A19" s="7">
        <v>8</v>
      </c>
      <c r="B19" s="4" t="s">
        <v>12</v>
      </c>
      <c r="C19" s="4" t="s">
        <v>67</v>
      </c>
      <c r="D19" s="4" t="s">
        <v>2</v>
      </c>
      <c r="F19" s="9" t="str">
        <f t="shared" si="0"/>
        <v>-</v>
      </c>
      <c r="J19" s="8"/>
      <c r="L19" s="11"/>
    </row>
    <row r="20" spans="1:12" x14ac:dyDescent="0.25">
      <c r="A20" s="7">
        <v>9</v>
      </c>
      <c r="B20" s="3" t="s">
        <v>13</v>
      </c>
      <c r="C20" s="3" t="s">
        <v>60</v>
      </c>
      <c r="D20" s="3" t="s">
        <v>2</v>
      </c>
      <c r="F20" s="10" t="str">
        <f t="shared" si="0"/>
        <v>-</v>
      </c>
      <c r="H20" s="15">
        <f t="shared" ref="H20" si="4">H16+1</f>
        <v>14</v>
      </c>
      <c r="I20" s="15">
        <f t="shared" ref="I20" si="5">I16+1</f>
        <v>3</v>
      </c>
      <c r="J20" s="8" t="str">
        <f t="shared" ref="J20" si="6">CONCATENATE($J$2,I20)</f>
        <v>-- 3</v>
      </c>
    </row>
    <row r="21" spans="1:12" x14ac:dyDescent="0.25">
      <c r="A21" s="7">
        <v>10</v>
      </c>
      <c r="B21" s="4" t="s">
        <v>14</v>
      </c>
      <c r="C21" s="4" t="s">
        <v>68</v>
      </c>
      <c r="D21" s="4" t="s">
        <v>2</v>
      </c>
      <c r="F21" s="9" t="str">
        <f t="shared" si="0"/>
        <v>-</v>
      </c>
      <c r="J21" s="8" t="str">
        <f t="shared" ref="J21" ca="1" si="7">CONCATENATE($J$3,INDIRECT(CONCATENATE("C",H20)), $J$5, $J$8,$J$7)</f>
        <v>INSERT INTO public.acessos(login, senha) values ('pedro1', '123');</v>
      </c>
    </row>
    <row r="22" spans="1:12" x14ac:dyDescent="0.25">
      <c r="A22" s="7">
        <v>11</v>
      </c>
      <c r="B22" s="3" t="s">
        <v>15</v>
      </c>
      <c r="C22" s="3" t="s">
        <v>57</v>
      </c>
      <c r="D22" s="3" t="s">
        <v>2</v>
      </c>
      <c r="F22" s="10" t="str">
        <f t="shared" si="0"/>
        <v>-</v>
      </c>
      <c r="J22" s="8" t="str">
        <f t="shared" ref="J22" ca="1" si="8">CONCATENATE($J$4,I20, $J$6, INDIRECT(CONCATENATE("B",H20)),$J$5,INDIRECT(CONCATENATE("D",H20)),$J$7)</f>
        <v>INSERT INTO public.usuarios(id_usuario, nome, nivel_acesso) values (3, 'Pedro Souza', 'Administrador');</v>
      </c>
    </row>
    <row r="23" spans="1:12" x14ac:dyDescent="0.25">
      <c r="A23" s="7">
        <v>12</v>
      </c>
      <c r="B23" s="4" t="s">
        <v>16</v>
      </c>
      <c r="C23" s="4" t="s">
        <v>62</v>
      </c>
      <c r="D23" s="4" t="s">
        <v>2</v>
      </c>
      <c r="F23" s="9" t="str">
        <f t="shared" si="0"/>
        <v>-</v>
      </c>
      <c r="J23" s="8"/>
    </row>
    <row r="24" spans="1:12" x14ac:dyDescent="0.25">
      <c r="A24" s="7">
        <v>13</v>
      </c>
      <c r="B24" s="3" t="s">
        <v>17</v>
      </c>
      <c r="C24" s="3" t="s">
        <v>59</v>
      </c>
      <c r="D24" s="3" t="s">
        <v>2</v>
      </c>
      <c r="F24" s="10" t="str">
        <f t="shared" si="0"/>
        <v>-</v>
      </c>
      <c r="H24" s="15">
        <f t="shared" ref="H24" si="9">H20+1</f>
        <v>15</v>
      </c>
      <c r="I24" s="15">
        <f t="shared" ref="I24" si="10">I20+1</f>
        <v>4</v>
      </c>
      <c r="J24" s="8" t="str">
        <f t="shared" ref="J24" si="11">CONCATENATE($J$2,I24)</f>
        <v>-- 4</v>
      </c>
    </row>
    <row r="25" spans="1:12" x14ac:dyDescent="0.25">
      <c r="A25" s="7">
        <v>14</v>
      </c>
      <c r="B25" s="4" t="s">
        <v>18</v>
      </c>
      <c r="C25" s="4" t="s">
        <v>61</v>
      </c>
      <c r="D25" s="4" t="s">
        <v>2</v>
      </c>
      <c r="F25" s="9" t="str">
        <f t="shared" si="0"/>
        <v>-</v>
      </c>
      <c r="J25" s="8" t="str">
        <f t="shared" ref="J25:J85" ca="1" si="12">CONCATENATE($J$3,INDIRECT(CONCATENATE("C",H24)), $J$5, $J$8,$J$7)</f>
        <v>INSERT INTO public.acessos(login, senha) values ('jose1', '123');</v>
      </c>
    </row>
    <row r="26" spans="1:12" x14ac:dyDescent="0.25">
      <c r="A26" s="7">
        <v>15</v>
      </c>
      <c r="B26" s="3" t="s">
        <v>19</v>
      </c>
      <c r="C26" s="3" t="s">
        <v>69</v>
      </c>
      <c r="D26" s="3" t="s">
        <v>2</v>
      </c>
      <c r="F26" s="10" t="str">
        <f t="shared" si="0"/>
        <v>-</v>
      </c>
      <c r="J26" s="8" t="str">
        <f t="shared" ref="J26" ca="1" si="13">CONCATENATE($J$4,I24, $J$6, INDIRECT(CONCATENATE("B",H24)),$J$5,INDIRECT(CONCATENATE("D",H24)),$J$7)</f>
        <v>INSERT INTO public.usuarios(id_usuario, nome, nivel_acesso) values (4, 'Jose Pinheiro de Melo', 'Vendedor');</v>
      </c>
    </row>
    <row r="27" spans="1:12" x14ac:dyDescent="0.25">
      <c r="A27" s="7">
        <v>16</v>
      </c>
      <c r="B27" s="4" t="s">
        <v>20</v>
      </c>
      <c r="C27" s="4" t="s">
        <v>70</v>
      </c>
      <c r="D27" s="4" t="s">
        <v>2</v>
      </c>
      <c r="F27" s="9" t="str">
        <f t="shared" si="0"/>
        <v>-</v>
      </c>
      <c r="J27" s="8"/>
    </row>
    <row r="28" spans="1:12" x14ac:dyDescent="0.25">
      <c r="A28" s="7">
        <v>17</v>
      </c>
      <c r="B28" s="3" t="s">
        <v>21</v>
      </c>
      <c r="C28" s="3" t="s">
        <v>71</v>
      </c>
      <c r="D28" s="3" t="s">
        <v>2</v>
      </c>
      <c r="F28" s="10" t="str">
        <f t="shared" si="0"/>
        <v>-</v>
      </c>
      <c r="H28" s="15">
        <f t="shared" ref="H28" si="14">H24+1</f>
        <v>16</v>
      </c>
      <c r="I28" s="15">
        <f t="shared" ref="I28" si="15">I24+1</f>
        <v>5</v>
      </c>
      <c r="J28" s="8" t="str">
        <f t="shared" ref="J28:J88" si="16">CONCATENATE($J$2,I28)</f>
        <v>-- 5</v>
      </c>
    </row>
    <row r="29" spans="1:12" x14ac:dyDescent="0.25">
      <c r="A29" s="7">
        <v>18</v>
      </c>
      <c r="B29" s="4" t="s">
        <v>22</v>
      </c>
      <c r="C29" s="4" t="s">
        <v>72</v>
      </c>
      <c r="D29" s="4" t="s">
        <v>2</v>
      </c>
      <c r="F29" s="9" t="str">
        <f t="shared" si="0"/>
        <v>-</v>
      </c>
      <c r="J29" s="8" t="str">
        <f t="shared" ca="1" si="12"/>
        <v>INSERT INTO public.acessos(login, senha) values ('vicente1', '123');</v>
      </c>
    </row>
    <row r="30" spans="1:12" x14ac:dyDescent="0.25">
      <c r="A30" s="7">
        <v>19</v>
      </c>
      <c r="B30" s="3" t="s">
        <v>23</v>
      </c>
      <c r="C30" s="3" t="s">
        <v>73</v>
      </c>
      <c r="D30" s="3" t="s">
        <v>2</v>
      </c>
      <c r="F30" s="10" t="str">
        <f t="shared" si="0"/>
        <v>-</v>
      </c>
      <c r="J30" s="8" t="str">
        <f t="shared" ref="J30:J90" ca="1" si="17">CONCATENATE($J$4,I28, $J$6, INDIRECT(CONCATENATE("B",H28)),$J$5,INDIRECT(CONCATENATE("D",H28)),$J$7)</f>
        <v>INSERT INTO public.usuarios(id_usuario, nome, nivel_acesso) values (5, 'Vicente do Amaral Pedroso', 'Vendedor');</v>
      </c>
    </row>
    <row r="31" spans="1:12" x14ac:dyDescent="0.25">
      <c r="A31" s="7">
        <v>20</v>
      </c>
      <c r="B31" s="4" t="s">
        <v>24</v>
      </c>
      <c r="C31" s="4" t="s">
        <v>74</v>
      </c>
      <c r="D31" s="4" t="s">
        <v>2</v>
      </c>
      <c r="F31" s="9" t="str">
        <f t="shared" si="0"/>
        <v>-</v>
      </c>
      <c r="J31" s="8"/>
    </row>
    <row r="32" spans="1:12" x14ac:dyDescent="0.25">
      <c r="A32" s="7">
        <v>21</v>
      </c>
      <c r="B32" s="3" t="s">
        <v>25</v>
      </c>
      <c r="C32" s="3" t="s">
        <v>75</v>
      </c>
      <c r="D32" s="3" t="s">
        <v>2</v>
      </c>
      <c r="F32" s="10" t="str">
        <f t="shared" si="0"/>
        <v>-</v>
      </c>
      <c r="H32" s="15">
        <f t="shared" ref="H32" si="18">H28+1</f>
        <v>17</v>
      </c>
      <c r="I32" s="15">
        <f t="shared" ref="I32" si="19">I28+1</f>
        <v>6</v>
      </c>
      <c r="J32" s="8" t="str">
        <f t="shared" si="16"/>
        <v>-- 6</v>
      </c>
    </row>
    <row r="33" spans="1:10" x14ac:dyDescent="0.25">
      <c r="A33" s="7">
        <v>22</v>
      </c>
      <c r="B33" s="4" t="s">
        <v>26</v>
      </c>
      <c r="C33" s="4" t="s">
        <v>76</v>
      </c>
      <c r="D33" s="4" t="s">
        <v>2</v>
      </c>
      <c r="F33" s="9" t="str">
        <f t="shared" si="0"/>
        <v>-</v>
      </c>
      <c r="J33" s="8" t="str">
        <f t="shared" ca="1" si="12"/>
        <v>INSERT INTO public.acessos(login, senha) values ('marisa1', '123');</v>
      </c>
    </row>
    <row r="34" spans="1:10" x14ac:dyDescent="0.25">
      <c r="A34" s="7">
        <v>23</v>
      </c>
      <c r="B34" s="3" t="s">
        <v>27</v>
      </c>
      <c r="C34" s="3" t="s">
        <v>77</v>
      </c>
      <c r="D34" s="3" t="s">
        <v>2</v>
      </c>
      <c r="F34" s="10" t="str">
        <f t="shared" si="0"/>
        <v>-</v>
      </c>
      <c r="J34" s="8" t="str">
        <f t="shared" ca="1" si="17"/>
        <v>INSERT INTO public.usuarios(id_usuario, nome, nivel_acesso) values (6, 'Marisa Pereira', 'Vendedor');</v>
      </c>
    </row>
    <row r="35" spans="1:10" x14ac:dyDescent="0.25">
      <c r="A35" s="7">
        <v>24</v>
      </c>
      <c r="B35" s="4" t="s">
        <v>28</v>
      </c>
      <c r="C35" s="4" t="s">
        <v>78</v>
      </c>
      <c r="D35" s="4" t="s">
        <v>2</v>
      </c>
      <c r="F35" s="9" t="str">
        <f t="shared" si="0"/>
        <v>-</v>
      </c>
      <c r="J35" s="8"/>
    </row>
    <row r="36" spans="1:10" x14ac:dyDescent="0.25">
      <c r="A36" s="7">
        <v>25</v>
      </c>
      <c r="B36" s="3" t="s">
        <v>29</v>
      </c>
      <c r="C36" s="3" t="s">
        <v>79</v>
      </c>
      <c r="D36" s="3" t="s">
        <v>2</v>
      </c>
      <c r="F36" s="10" t="str">
        <f t="shared" si="0"/>
        <v>-</v>
      </c>
      <c r="H36" s="15">
        <f t="shared" ref="H36" si="20">H32+1</f>
        <v>18</v>
      </c>
      <c r="I36" s="15">
        <f t="shared" ref="I36" si="21">I32+1</f>
        <v>7</v>
      </c>
      <c r="J36" s="8" t="str">
        <f t="shared" si="16"/>
        <v>-- 7</v>
      </c>
    </row>
    <row r="37" spans="1:10" x14ac:dyDescent="0.25">
      <c r="A37" s="7">
        <v>26</v>
      </c>
      <c r="B37" s="4" t="s">
        <v>30</v>
      </c>
      <c r="C37" s="4" t="s">
        <v>80</v>
      </c>
      <c r="D37" s="4" t="s">
        <v>2</v>
      </c>
      <c r="F37" s="9" t="str">
        <f t="shared" si="0"/>
        <v>-</v>
      </c>
      <c r="J37" s="8" t="str">
        <f t="shared" ca="1" si="12"/>
        <v>INSERT INTO public.acessos(login, senha) values ('anderson1', '123');</v>
      </c>
    </row>
    <row r="38" spans="1:10" x14ac:dyDescent="0.25">
      <c r="A38" s="7">
        <v>27</v>
      </c>
      <c r="B38" s="3" t="s">
        <v>31</v>
      </c>
      <c r="C38" s="3" t="s">
        <v>81</v>
      </c>
      <c r="D38" s="3" t="s">
        <v>2</v>
      </c>
      <c r="F38" s="10" t="str">
        <f t="shared" si="0"/>
        <v>-</v>
      </c>
      <c r="J38" s="8" t="str">
        <f t="shared" ca="1" si="17"/>
        <v>INSERT INTO public.usuarios(id_usuario, nome, nivel_acesso) values (7, 'Anderson Andrade Junqueira', 'Vendedor');</v>
      </c>
    </row>
    <row r="39" spans="1:10" x14ac:dyDescent="0.25">
      <c r="A39" s="7">
        <v>28</v>
      </c>
      <c r="B39" s="4" t="s">
        <v>32</v>
      </c>
      <c r="C39" s="4" t="s">
        <v>82</v>
      </c>
      <c r="D39" s="4" t="s">
        <v>2</v>
      </c>
      <c r="F39" s="9" t="str">
        <f t="shared" si="0"/>
        <v>-</v>
      </c>
      <c r="J39" s="8"/>
    </row>
    <row r="40" spans="1:10" x14ac:dyDescent="0.25">
      <c r="A40" s="7">
        <v>29</v>
      </c>
      <c r="B40" s="3" t="s">
        <v>33</v>
      </c>
      <c r="C40" s="3" t="s">
        <v>83</v>
      </c>
      <c r="D40" s="3" t="s">
        <v>2</v>
      </c>
      <c r="F40" s="10" t="str">
        <f t="shared" si="0"/>
        <v>-</v>
      </c>
      <c r="H40" s="15">
        <f t="shared" ref="H40" si="22">H36+1</f>
        <v>19</v>
      </c>
      <c r="I40" s="15">
        <f t="shared" ref="I40" si="23">I36+1</f>
        <v>8</v>
      </c>
      <c r="J40" s="8" t="str">
        <f t="shared" si="16"/>
        <v>-- 8</v>
      </c>
    </row>
    <row r="41" spans="1:10" x14ac:dyDescent="0.25">
      <c r="A41" s="7">
        <v>30</v>
      </c>
      <c r="B41" s="4" t="s">
        <v>34</v>
      </c>
      <c r="C41" s="4" t="s">
        <v>84</v>
      </c>
      <c r="D41" s="4" t="s">
        <v>2</v>
      </c>
      <c r="F41" s="9" t="str">
        <f t="shared" si="0"/>
        <v>-</v>
      </c>
      <c r="J41" s="8" t="str">
        <f t="shared" ca="1" si="12"/>
        <v>INSERT INTO public.acessos(login, senha) values ('daniela1', '123');</v>
      </c>
    </row>
    <row r="42" spans="1:10" x14ac:dyDescent="0.25">
      <c r="A42" s="7">
        <v>31</v>
      </c>
      <c r="B42" s="3" t="s">
        <v>35</v>
      </c>
      <c r="C42" s="3" t="s">
        <v>85</v>
      </c>
      <c r="D42" s="3" t="s">
        <v>2</v>
      </c>
      <c r="F42" s="10" t="str">
        <f t="shared" si="0"/>
        <v>-</v>
      </c>
      <c r="J42" s="8" t="str">
        <f t="shared" ca="1" si="17"/>
        <v>INSERT INTO public.usuarios(id_usuario, nome, nivel_acesso) values (8, 'Daniela da Costa Rodrigues', 'Vendedor');</v>
      </c>
    </row>
    <row r="43" spans="1:10" x14ac:dyDescent="0.25">
      <c r="A43" s="7">
        <v>32</v>
      </c>
      <c r="B43" s="4" t="s">
        <v>36</v>
      </c>
      <c r="C43" s="4" t="s">
        <v>86</v>
      </c>
      <c r="D43" s="4" t="s">
        <v>2</v>
      </c>
      <c r="F43" s="9" t="str">
        <f t="shared" si="0"/>
        <v>-</v>
      </c>
      <c r="J43" s="8"/>
    </row>
    <row r="44" spans="1:10" x14ac:dyDescent="0.25">
      <c r="A44" s="7">
        <v>33</v>
      </c>
      <c r="B44" s="3" t="s">
        <v>37</v>
      </c>
      <c r="C44" s="3" t="s">
        <v>87</v>
      </c>
      <c r="D44" s="3" t="s">
        <v>2</v>
      </c>
      <c r="F44" s="10" t="str">
        <f t="shared" si="0"/>
        <v>-</v>
      </c>
      <c r="H44" s="15">
        <f t="shared" ref="H44" si="24">H40+1</f>
        <v>20</v>
      </c>
      <c r="I44" s="15">
        <f t="shared" ref="I44" si="25">I40+1</f>
        <v>9</v>
      </c>
      <c r="J44" s="8" t="str">
        <f t="shared" si="16"/>
        <v>-- 9</v>
      </c>
    </row>
    <row r="45" spans="1:10" x14ac:dyDescent="0.25">
      <c r="A45" s="7">
        <v>34</v>
      </c>
      <c r="B45" s="4" t="s">
        <v>38</v>
      </c>
      <c r="C45" s="4" t="s">
        <v>88</v>
      </c>
      <c r="D45" s="4" t="s">
        <v>2</v>
      </c>
      <c r="F45" s="9" t="str">
        <f t="shared" si="0"/>
        <v>-</v>
      </c>
      <c r="J45" s="8" t="str">
        <f t="shared" ca="1" si="12"/>
        <v>INSERT INTO public.acessos(login, senha) values ('antonio1', '123');</v>
      </c>
    </row>
    <row r="46" spans="1:10" x14ac:dyDescent="0.25">
      <c r="A46" s="7">
        <v>35</v>
      </c>
      <c r="B46" s="3" t="s">
        <v>39</v>
      </c>
      <c r="C46" s="3" t="s">
        <v>89</v>
      </c>
      <c r="D46" s="3" t="s">
        <v>2</v>
      </c>
      <c r="F46" s="10" t="str">
        <f t="shared" si="0"/>
        <v>-</v>
      </c>
      <c r="J46" s="8" t="str">
        <f t="shared" ca="1" si="17"/>
        <v>INSERT INTO public.usuarios(id_usuario, nome, nivel_acesso) values (9, 'Antônio da Silva Junior', 'Vendedor');</v>
      </c>
    </row>
    <row r="47" spans="1:10" x14ac:dyDescent="0.25">
      <c r="A47" s="7">
        <v>36</v>
      </c>
      <c r="B47" s="4" t="s">
        <v>40</v>
      </c>
      <c r="C47" s="4" t="s">
        <v>90</v>
      </c>
      <c r="D47" s="4" t="s">
        <v>2</v>
      </c>
      <c r="F47" s="9" t="str">
        <f t="shared" si="0"/>
        <v>-</v>
      </c>
      <c r="J47" s="8"/>
    </row>
    <row r="48" spans="1:10" x14ac:dyDescent="0.25">
      <c r="A48" s="7">
        <v>37</v>
      </c>
      <c r="B48" s="3" t="s">
        <v>41</v>
      </c>
      <c r="C48" s="3" t="s">
        <v>91</v>
      </c>
      <c r="D48" s="3" t="s">
        <v>2</v>
      </c>
      <c r="F48" s="10" t="str">
        <f t="shared" si="0"/>
        <v>-</v>
      </c>
      <c r="H48" s="15">
        <f t="shared" ref="H48" si="26">H44+1</f>
        <v>21</v>
      </c>
      <c r="I48" s="15">
        <f t="shared" ref="I48" si="27">I44+1</f>
        <v>10</v>
      </c>
      <c r="J48" s="8" t="str">
        <f t="shared" si="16"/>
        <v>-- 10</v>
      </c>
    </row>
    <row r="49" spans="1:10" x14ac:dyDescent="0.25">
      <c r="A49" s="7">
        <v>38</v>
      </c>
      <c r="B49" s="4" t="s">
        <v>42</v>
      </c>
      <c r="C49" s="4" t="s">
        <v>92</v>
      </c>
      <c r="D49" s="4" t="s">
        <v>2</v>
      </c>
      <c r="F49" s="9" t="str">
        <f t="shared" si="0"/>
        <v>-</v>
      </c>
      <c r="J49" s="8" t="str">
        <f t="shared" ca="1" si="12"/>
        <v>INSERT INTO public.acessos(login, senha) values ('carlos1', '123');</v>
      </c>
    </row>
    <row r="50" spans="1:10" x14ac:dyDescent="0.25">
      <c r="A50" s="7">
        <v>39</v>
      </c>
      <c r="B50" s="3" t="s">
        <v>43</v>
      </c>
      <c r="C50" s="3" t="s">
        <v>93</v>
      </c>
      <c r="D50" s="3" t="s">
        <v>2</v>
      </c>
      <c r="F50" s="10" t="str">
        <f t="shared" si="0"/>
        <v>-</v>
      </c>
      <c r="J50" s="8" t="str">
        <f t="shared" ca="1" si="17"/>
        <v>INSERT INTO public.usuarios(id_usuario, nome, nivel_acesso) values (10, 'Carlos Correia da Silva', 'Vendedor');</v>
      </c>
    </row>
    <row r="51" spans="1:10" x14ac:dyDescent="0.25">
      <c r="A51" s="7">
        <v>40</v>
      </c>
      <c r="B51" s="4" t="s">
        <v>44</v>
      </c>
      <c r="C51" s="4" t="s">
        <v>94</v>
      </c>
      <c r="D51" s="4" t="s">
        <v>2</v>
      </c>
      <c r="F51" s="9" t="str">
        <f t="shared" si="0"/>
        <v>-</v>
      </c>
      <c r="J51" s="8"/>
    </row>
    <row r="52" spans="1:10" x14ac:dyDescent="0.25">
      <c r="A52" s="7">
        <v>41</v>
      </c>
      <c r="B52" s="3" t="s">
        <v>45</v>
      </c>
      <c r="C52" s="3" t="s">
        <v>95</v>
      </c>
      <c r="D52" s="3" t="s">
        <v>2</v>
      </c>
      <c r="F52" s="10" t="str">
        <f t="shared" si="0"/>
        <v>-</v>
      </c>
      <c r="H52" s="15">
        <f t="shared" ref="H52" si="28">H48+1</f>
        <v>22</v>
      </c>
      <c r="I52" s="15">
        <f t="shared" ref="I52" si="29">I48+1</f>
        <v>11</v>
      </c>
      <c r="J52" s="8" t="str">
        <f t="shared" si="16"/>
        <v>-- 11</v>
      </c>
    </row>
    <row r="53" spans="1:10" x14ac:dyDescent="0.25">
      <c r="A53" s="7">
        <v>42</v>
      </c>
      <c r="B53" s="4" t="s">
        <v>46</v>
      </c>
      <c r="C53" s="4" t="s">
        <v>103</v>
      </c>
      <c r="D53" s="4" t="s">
        <v>2</v>
      </c>
      <c r="F53" s="9" t="str">
        <f t="shared" si="0"/>
        <v>-</v>
      </c>
      <c r="J53" s="8" t="str">
        <f t="shared" ca="1" si="12"/>
        <v>INSERT INTO public.acessos(login, senha) values ('pedro2', '123');</v>
      </c>
    </row>
    <row r="54" spans="1:10" x14ac:dyDescent="0.25">
      <c r="A54" s="7">
        <v>43</v>
      </c>
      <c r="B54" s="3" t="s">
        <v>47</v>
      </c>
      <c r="C54" s="3" t="s">
        <v>96</v>
      </c>
      <c r="D54" s="3" t="s">
        <v>2</v>
      </c>
      <c r="F54" s="10" t="str">
        <f t="shared" si="0"/>
        <v>-</v>
      </c>
      <c r="J54" s="8" t="str">
        <f t="shared" ca="1" si="17"/>
        <v>INSERT INTO public.usuarios(id_usuario, nome, nivel_acesso) values (11, 'Pedro Camargo', 'Vendedor');</v>
      </c>
    </row>
    <row r="55" spans="1:10" x14ac:dyDescent="0.25">
      <c r="A55" s="7">
        <v>44</v>
      </c>
      <c r="B55" s="4" t="s">
        <v>48</v>
      </c>
      <c r="C55" s="4" t="s">
        <v>97</v>
      </c>
      <c r="D55" s="4" t="s">
        <v>2</v>
      </c>
      <c r="F55" s="9" t="str">
        <f t="shared" si="0"/>
        <v>-</v>
      </c>
      <c r="J55" s="8"/>
    </row>
    <row r="56" spans="1:10" x14ac:dyDescent="0.25">
      <c r="A56" s="7">
        <v>45</v>
      </c>
      <c r="B56" s="3" t="s">
        <v>49</v>
      </c>
      <c r="C56" s="3" t="s">
        <v>98</v>
      </c>
      <c r="D56" s="3" t="s">
        <v>2</v>
      </c>
      <c r="F56" s="10" t="str">
        <f t="shared" si="0"/>
        <v>-</v>
      </c>
      <c r="H56" s="15">
        <f t="shared" ref="H56" si="30">H52+1</f>
        <v>23</v>
      </c>
      <c r="I56" s="15">
        <f t="shared" ref="I56" si="31">I52+1</f>
        <v>12</v>
      </c>
      <c r="J56" s="8" t="str">
        <f t="shared" si="16"/>
        <v>-- 12</v>
      </c>
    </row>
    <row r="57" spans="1:10" x14ac:dyDescent="0.25">
      <c r="A57" s="7">
        <v>46</v>
      </c>
      <c r="B57" s="4" t="s">
        <v>50</v>
      </c>
      <c r="C57" s="4" t="s">
        <v>99</v>
      </c>
      <c r="D57" s="4" t="s">
        <v>2</v>
      </c>
      <c r="F57" s="9" t="str">
        <f t="shared" si="0"/>
        <v>-</v>
      </c>
      <c r="J57" s="8" t="str">
        <f t="shared" ca="1" si="12"/>
        <v>INSERT INTO public.acessos(login, senha) values ('augusto1', '123');</v>
      </c>
    </row>
    <row r="58" spans="1:10" x14ac:dyDescent="0.25">
      <c r="A58" s="7">
        <v>47</v>
      </c>
      <c r="B58" s="3" t="s">
        <v>51</v>
      </c>
      <c r="C58" s="3" t="s">
        <v>104</v>
      </c>
      <c r="D58" s="3" t="s">
        <v>2</v>
      </c>
      <c r="F58" s="10" t="str">
        <f t="shared" si="0"/>
        <v>-</v>
      </c>
      <c r="J58" s="8" t="str">
        <f t="shared" ca="1" si="17"/>
        <v>INSERT INTO public.usuarios(id_usuario, nome, nivel_acesso) values (12, 'Augusto de Melo', 'Vendedor');</v>
      </c>
    </row>
    <row r="59" spans="1:10" x14ac:dyDescent="0.25">
      <c r="A59" s="7">
        <v>48</v>
      </c>
      <c r="B59" s="4" t="s">
        <v>52</v>
      </c>
      <c r="C59" s="4" t="s">
        <v>100</v>
      </c>
      <c r="D59" s="4" t="s">
        <v>2</v>
      </c>
      <c r="F59" s="9" t="str">
        <f t="shared" si="0"/>
        <v>-</v>
      </c>
      <c r="J59" s="8"/>
    </row>
    <row r="60" spans="1:10" x14ac:dyDescent="0.25">
      <c r="A60" s="7">
        <v>49</v>
      </c>
      <c r="B60" s="3" t="s">
        <v>53</v>
      </c>
      <c r="C60" s="3" t="s">
        <v>105</v>
      </c>
      <c r="D60" s="3" t="s">
        <v>2</v>
      </c>
      <c r="F60" s="10" t="str">
        <f t="shared" si="0"/>
        <v>-</v>
      </c>
      <c r="H60" s="15">
        <f t="shared" ref="H60" si="32">H56+1</f>
        <v>24</v>
      </c>
      <c r="I60" s="15">
        <f t="shared" ref="I60" si="33">I56+1</f>
        <v>13</v>
      </c>
      <c r="J60" s="8" t="str">
        <f t="shared" si="16"/>
        <v>-- 13</v>
      </c>
    </row>
    <row r="61" spans="1:10" x14ac:dyDescent="0.25">
      <c r="A61" s="7">
        <v>50</v>
      </c>
      <c r="B61" s="4" t="s">
        <v>54</v>
      </c>
      <c r="C61" s="4" t="s">
        <v>101</v>
      </c>
      <c r="D61" s="4" t="s">
        <v>2</v>
      </c>
      <c r="F61" s="9" t="str">
        <f t="shared" si="0"/>
        <v>-</v>
      </c>
      <c r="J61" s="8" t="str">
        <f t="shared" ca="1" si="12"/>
        <v>INSERT INTO public.acessos(login, senha) values ('antonio2', '123');</v>
      </c>
    </row>
    <row r="62" spans="1:10" x14ac:dyDescent="0.25">
      <c r="B62" s="12"/>
      <c r="J62" s="8" t="str">
        <f t="shared" ca="1" si="17"/>
        <v>INSERT INTO public.usuarios(id_usuario, nome, nivel_acesso) values (13, 'Antônio Rabelo', 'Vendedor');</v>
      </c>
    </row>
    <row r="63" spans="1:10" x14ac:dyDescent="0.25">
      <c r="B63" s="12"/>
      <c r="J63" s="8"/>
    </row>
    <row r="64" spans="1:10" x14ac:dyDescent="0.25">
      <c r="H64" s="15">
        <f t="shared" ref="H64" si="34">H60+1</f>
        <v>25</v>
      </c>
      <c r="I64" s="15">
        <f t="shared" ref="I64" si="35">I60+1</f>
        <v>14</v>
      </c>
      <c r="J64" s="8" t="str">
        <f t="shared" si="16"/>
        <v>-- 14</v>
      </c>
    </row>
    <row r="65" spans="8:10" x14ac:dyDescent="0.25">
      <c r="J65" s="8" t="str">
        <f t="shared" ca="1" si="12"/>
        <v>INSERT INTO public.acessos(login, senha) values ('augusto2', '123');</v>
      </c>
    </row>
    <row r="66" spans="8:10" x14ac:dyDescent="0.25">
      <c r="J66" s="8" t="str">
        <f t="shared" ca="1" si="17"/>
        <v>INSERT INTO public.usuarios(id_usuario, nome, nivel_acesso) values (14, 'Augusto da Silva', 'Vendedor');</v>
      </c>
    </row>
    <row r="67" spans="8:10" x14ac:dyDescent="0.25">
      <c r="J67" s="8"/>
    </row>
    <row r="68" spans="8:10" x14ac:dyDescent="0.25">
      <c r="H68" s="15">
        <f t="shared" ref="H68" si="36">H64+1</f>
        <v>26</v>
      </c>
      <c r="I68" s="15">
        <f t="shared" ref="I68:I128" si="37">I64+1</f>
        <v>15</v>
      </c>
      <c r="J68" s="8" t="str">
        <f t="shared" si="16"/>
        <v>-- 15</v>
      </c>
    </row>
    <row r="69" spans="8:10" x14ac:dyDescent="0.25">
      <c r="J69" s="8" t="str">
        <f t="shared" ca="1" si="12"/>
        <v>INSERT INTO public.acessos(login, senha) values ('nicolas1', '123');</v>
      </c>
    </row>
    <row r="70" spans="8:10" x14ac:dyDescent="0.25">
      <c r="J70" s="8" t="str">
        <f t="shared" ca="1" si="17"/>
        <v>INSERT INTO public.usuarios(id_usuario, nome, nivel_acesso) values (15, 'Nicolas Vieira', 'Vendedor');</v>
      </c>
    </row>
    <row r="71" spans="8:10" x14ac:dyDescent="0.25">
      <c r="J71" s="8"/>
    </row>
    <row r="72" spans="8:10" x14ac:dyDescent="0.25">
      <c r="H72" s="15">
        <f t="shared" ref="H72" si="38">H68+1</f>
        <v>27</v>
      </c>
      <c r="I72" s="15">
        <f t="shared" si="37"/>
        <v>16</v>
      </c>
      <c r="J72" s="8" t="str">
        <f t="shared" si="16"/>
        <v>-- 16</v>
      </c>
    </row>
    <row r="73" spans="8:10" x14ac:dyDescent="0.25">
      <c r="J73" s="8" t="str">
        <f t="shared" ca="1" si="12"/>
        <v>INSERT INTO public.acessos(login, senha) values ('mauro1', '123');</v>
      </c>
    </row>
    <row r="74" spans="8:10" x14ac:dyDescent="0.25">
      <c r="J74" s="8" t="str">
        <f t="shared" ca="1" si="17"/>
        <v>INSERT INTO public.usuarios(id_usuario, nome, nivel_acesso) values (16, 'Mauro Andrade', 'Vendedor');</v>
      </c>
    </row>
    <row r="75" spans="8:10" x14ac:dyDescent="0.25">
      <c r="J75" s="8"/>
    </row>
    <row r="76" spans="8:10" x14ac:dyDescent="0.25">
      <c r="H76" s="15">
        <f t="shared" ref="H76" si="39">H72+1</f>
        <v>28</v>
      </c>
      <c r="I76" s="15">
        <f t="shared" si="37"/>
        <v>17</v>
      </c>
      <c r="J76" s="8" t="str">
        <f t="shared" si="16"/>
        <v>-- 17</v>
      </c>
    </row>
    <row r="77" spans="8:10" x14ac:dyDescent="0.25">
      <c r="J77" s="8" t="str">
        <f t="shared" ca="1" si="12"/>
        <v>INSERT INTO public.acessos(login, senha) values ('roberto1', '123');</v>
      </c>
    </row>
    <row r="78" spans="8:10" x14ac:dyDescent="0.25">
      <c r="J78" s="8" t="str">
        <f t="shared" ca="1" si="17"/>
        <v>INSERT INTO public.usuarios(id_usuario, nome, nivel_acesso) values (17, 'Roberto Souza', 'Vendedor');</v>
      </c>
    </row>
    <row r="79" spans="8:10" x14ac:dyDescent="0.25">
      <c r="J79" s="8"/>
    </row>
    <row r="80" spans="8:10" x14ac:dyDescent="0.25">
      <c r="H80" s="15">
        <f t="shared" ref="H80" si="40">H76+1</f>
        <v>29</v>
      </c>
      <c r="I80" s="15">
        <f t="shared" si="37"/>
        <v>18</v>
      </c>
      <c r="J80" s="8" t="str">
        <f t="shared" si="16"/>
        <v>-- 18</v>
      </c>
    </row>
    <row r="81" spans="8:10" x14ac:dyDescent="0.25">
      <c r="J81" s="8" t="str">
        <f t="shared" ca="1" si="12"/>
        <v>INSERT INTO public.acessos(login, senha) values ('priscila1', '123');</v>
      </c>
    </row>
    <row r="82" spans="8:10" x14ac:dyDescent="0.25">
      <c r="J82" s="8" t="str">
        <f t="shared" ca="1" si="17"/>
        <v>INSERT INTO public.usuarios(id_usuario, nome, nivel_acesso) values (18, 'Priscila Camargo de Melo', 'Vendedor');</v>
      </c>
    </row>
    <row r="83" spans="8:10" x14ac:dyDescent="0.25">
      <c r="J83" s="8"/>
    </row>
    <row r="84" spans="8:10" x14ac:dyDescent="0.25">
      <c r="H84" s="15">
        <f t="shared" ref="H84" si="41">H80+1</f>
        <v>30</v>
      </c>
      <c r="I84" s="15">
        <f t="shared" si="37"/>
        <v>19</v>
      </c>
      <c r="J84" s="8" t="str">
        <f t="shared" si="16"/>
        <v>-- 19</v>
      </c>
    </row>
    <row r="85" spans="8:10" x14ac:dyDescent="0.25">
      <c r="J85" s="8" t="str">
        <f t="shared" ca="1" si="12"/>
        <v>INSERT INTO public.acessos(login, senha) values ('joaquim1', '123');</v>
      </c>
    </row>
    <row r="86" spans="8:10" x14ac:dyDescent="0.25">
      <c r="J86" s="8" t="str">
        <f t="shared" ca="1" si="17"/>
        <v>INSERT INTO public.usuarios(id_usuario, nome, nivel_acesso) values (19, 'Joaquim Teixeira', 'Vendedor');</v>
      </c>
    </row>
    <row r="87" spans="8:10" x14ac:dyDescent="0.25">
      <c r="J87" s="8"/>
    </row>
    <row r="88" spans="8:10" x14ac:dyDescent="0.25">
      <c r="H88" s="15">
        <f t="shared" ref="H88" si="42">H84+1</f>
        <v>31</v>
      </c>
      <c r="I88" s="15">
        <f t="shared" si="37"/>
        <v>20</v>
      </c>
      <c r="J88" s="8" t="str">
        <f t="shared" si="16"/>
        <v>-- 20</v>
      </c>
    </row>
    <row r="89" spans="8:10" x14ac:dyDescent="0.25">
      <c r="J89" s="8" t="str">
        <f t="shared" ref="J89:J149" ca="1" si="43">CONCATENATE($J$3,INDIRECT(CONCATENATE("C",H88)), $J$5, $J$8,$J$7)</f>
        <v>INSERT INTO public.acessos(login, senha) values ('rogerio1', '123');</v>
      </c>
    </row>
    <row r="90" spans="8:10" x14ac:dyDescent="0.25">
      <c r="J90" s="8" t="str">
        <f t="shared" ca="1" si="17"/>
        <v>INSERT INTO public.usuarios(id_usuario, nome, nivel_acesso) values (20, 'Rogerio Saraiva', 'Vendedor');</v>
      </c>
    </row>
    <row r="91" spans="8:10" x14ac:dyDescent="0.25">
      <c r="J91" s="8"/>
    </row>
    <row r="92" spans="8:10" x14ac:dyDescent="0.25">
      <c r="H92" s="15">
        <f t="shared" ref="H92" si="44">H88+1</f>
        <v>32</v>
      </c>
      <c r="I92" s="15">
        <f t="shared" si="37"/>
        <v>21</v>
      </c>
      <c r="J92" s="8" t="str">
        <f t="shared" ref="J92:J152" si="45">CONCATENATE($J$2,I92)</f>
        <v>-- 21</v>
      </c>
    </row>
    <row r="93" spans="8:10" x14ac:dyDescent="0.25">
      <c r="J93" s="8" t="str">
        <f t="shared" ca="1" si="43"/>
        <v>INSERT INTO public.acessos(login, senha) values ('miguel1', '123');</v>
      </c>
    </row>
    <row r="94" spans="8:10" x14ac:dyDescent="0.25">
      <c r="J94" s="8" t="str">
        <f t="shared" ref="J94:J154" ca="1" si="46">CONCATENATE($J$4,I92, $J$6, INDIRECT(CONCATENATE("B",H92)),$J$5,INDIRECT(CONCATENATE("D",H92)),$J$7)</f>
        <v>INSERT INTO public.usuarios(id_usuario, nome, nivel_acesso) values (21, 'Miguel Duarte', 'Vendedor');</v>
      </c>
    </row>
    <row r="95" spans="8:10" x14ac:dyDescent="0.25">
      <c r="J95" s="8"/>
    </row>
    <row r="96" spans="8:10" x14ac:dyDescent="0.25">
      <c r="H96" s="15">
        <f t="shared" ref="H96" si="47">H92+1</f>
        <v>33</v>
      </c>
      <c r="I96" s="15">
        <f t="shared" si="37"/>
        <v>22</v>
      </c>
      <c r="J96" s="8" t="str">
        <f t="shared" si="45"/>
        <v>-- 22</v>
      </c>
    </row>
    <row r="97" spans="8:10" x14ac:dyDescent="0.25">
      <c r="J97" s="8" t="str">
        <f t="shared" ca="1" si="43"/>
        <v>INSERT INTO public.acessos(login, senha) values ('thais1', '123');</v>
      </c>
    </row>
    <row r="98" spans="8:10" x14ac:dyDescent="0.25">
      <c r="J98" s="8" t="str">
        <f t="shared" ca="1" si="46"/>
        <v>INSERT INTO public.usuarios(id_usuario, nome, nivel_acesso) values (22, 'Thais Santos', 'Vendedor');</v>
      </c>
    </row>
    <row r="99" spans="8:10" x14ac:dyDescent="0.25">
      <c r="J99" s="8"/>
    </row>
    <row r="100" spans="8:10" x14ac:dyDescent="0.25">
      <c r="H100" s="15">
        <f t="shared" ref="H100" si="48">H96+1</f>
        <v>34</v>
      </c>
      <c r="I100" s="15">
        <f t="shared" si="37"/>
        <v>23</v>
      </c>
      <c r="J100" s="8" t="str">
        <f t="shared" si="45"/>
        <v>-- 23</v>
      </c>
    </row>
    <row r="101" spans="8:10" x14ac:dyDescent="0.25">
      <c r="J101" s="8" t="str">
        <f t="shared" ca="1" si="43"/>
        <v>INSERT INTO public.acessos(login, senha) values ('luana1', '123');</v>
      </c>
    </row>
    <row r="102" spans="8:10" x14ac:dyDescent="0.25">
      <c r="J102" s="8" t="str">
        <f t="shared" ca="1" si="46"/>
        <v>INSERT INTO public.usuarios(id_usuario, nome, nivel_acesso) values (23, 'Luana de Melo', 'Vendedor');</v>
      </c>
    </row>
    <row r="103" spans="8:10" x14ac:dyDescent="0.25">
      <c r="J103" s="8"/>
    </row>
    <row r="104" spans="8:10" x14ac:dyDescent="0.25">
      <c r="H104" s="15">
        <f t="shared" ref="H104" si="49">H100+1</f>
        <v>35</v>
      </c>
      <c r="I104" s="15">
        <f t="shared" si="37"/>
        <v>24</v>
      </c>
      <c r="J104" s="8" t="str">
        <f t="shared" si="45"/>
        <v>-- 24</v>
      </c>
    </row>
    <row r="105" spans="8:10" x14ac:dyDescent="0.25">
      <c r="J105" s="8" t="str">
        <f t="shared" ca="1" si="43"/>
        <v>INSERT INTO public.acessos(login, senha) values ('rodrigo1', '123');</v>
      </c>
    </row>
    <row r="106" spans="8:10" x14ac:dyDescent="0.25">
      <c r="J106" s="8" t="str">
        <f t="shared" ca="1" si="46"/>
        <v>INSERT INTO public.usuarios(id_usuario, nome, nivel_acesso) values (24, 'Rodrigo da Silva', 'Vendedor');</v>
      </c>
    </row>
    <row r="107" spans="8:10" x14ac:dyDescent="0.25">
      <c r="J107" s="8"/>
    </row>
    <row r="108" spans="8:10" x14ac:dyDescent="0.25">
      <c r="H108" s="15">
        <f t="shared" ref="H108" si="50">H104+1</f>
        <v>36</v>
      </c>
      <c r="I108" s="15">
        <f t="shared" si="37"/>
        <v>25</v>
      </c>
      <c r="J108" s="8" t="str">
        <f t="shared" si="45"/>
        <v>-- 25</v>
      </c>
    </row>
    <row r="109" spans="8:10" x14ac:dyDescent="0.25">
      <c r="J109" s="8" t="str">
        <f t="shared" ca="1" si="43"/>
        <v>INSERT INTO public.acessos(login, senha) values ('manoel1', '123');</v>
      </c>
    </row>
    <row r="110" spans="8:10" x14ac:dyDescent="0.25">
      <c r="J110" s="8" t="str">
        <f t="shared" ca="1" si="46"/>
        <v>INSERT INTO public.usuarios(id_usuario, nome, nivel_acesso) values (25, 'Manoel Calixto', 'Vendedor');</v>
      </c>
    </row>
    <row r="111" spans="8:10" x14ac:dyDescent="0.25">
      <c r="J111" s="8"/>
    </row>
    <row r="112" spans="8:10" x14ac:dyDescent="0.25">
      <c r="H112" s="15">
        <f t="shared" ref="H112" si="51">H108+1</f>
        <v>37</v>
      </c>
      <c r="I112" s="15">
        <f t="shared" si="37"/>
        <v>26</v>
      </c>
      <c r="J112" s="8" t="str">
        <f t="shared" si="45"/>
        <v>-- 26</v>
      </c>
    </row>
    <row r="113" spans="8:10" x14ac:dyDescent="0.25">
      <c r="J113" s="8" t="str">
        <f t="shared" ca="1" si="43"/>
        <v>INSERT INTO public.acessos(login, senha) values ('ruan1', '123');</v>
      </c>
    </row>
    <row r="114" spans="8:10" x14ac:dyDescent="0.25">
      <c r="J114" s="8" t="str">
        <f t="shared" ca="1" si="46"/>
        <v>INSERT INTO public.usuarios(id_usuario, nome, nivel_acesso) values (26, 'Ruan Gomes', 'Vendedor');</v>
      </c>
    </row>
    <row r="115" spans="8:10" x14ac:dyDescent="0.25">
      <c r="J115" s="8"/>
    </row>
    <row r="116" spans="8:10" x14ac:dyDescent="0.25">
      <c r="H116" s="15">
        <f t="shared" ref="H116" si="52">H112+1</f>
        <v>38</v>
      </c>
      <c r="I116" s="15">
        <f t="shared" si="37"/>
        <v>27</v>
      </c>
      <c r="J116" s="8" t="str">
        <f t="shared" si="45"/>
        <v>-- 27</v>
      </c>
    </row>
    <row r="117" spans="8:10" x14ac:dyDescent="0.25">
      <c r="J117" s="8" t="str">
        <f t="shared" ca="1" si="43"/>
        <v>INSERT INTO public.acessos(login, senha) values ('eduardo1', '123');</v>
      </c>
    </row>
    <row r="118" spans="8:10" x14ac:dyDescent="0.25">
      <c r="J118" s="8" t="str">
        <f t="shared" ca="1" si="46"/>
        <v>INSERT INTO public.usuarios(id_usuario, nome, nivel_acesso) values (27, 'Eduardo Ferreira', 'Vendedor');</v>
      </c>
    </row>
    <row r="119" spans="8:10" x14ac:dyDescent="0.25">
      <c r="J119" s="8"/>
    </row>
    <row r="120" spans="8:10" x14ac:dyDescent="0.25">
      <c r="H120" s="15">
        <f t="shared" ref="H120" si="53">H116+1</f>
        <v>39</v>
      </c>
      <c r="I120" s="15">
        <f t="shared" si="37"/>
        <v>28</v>
      </c>
      <c r="J120" s="8" t="str">
        <f t="shared" si="45"/>
        <v>-- 28</v>
      </c>
    </row>
    <row r="121" spans="8:10" x14ac:dyDescent="0.25">
      <c r="J121" s="8" t="str">
        <f t="shared" ca="1" si="43"/>
        <v>INSERT INTO public.acessos(login, senha) values ('alberto1', '123');</v>
      </c>
    </row>
    <row r="122" spans="8:10" x14ac:dyDescent="0.25">
      <c r="J122" s="8" t="str">
        <f t="shared" ca="1" si="46"/>
        <v>INSERT INTO public.usuarios(id_usuario, nome, nivel_acesso) values (28, 'Alberto Covas', 'Vendedor');</v>
      </c>
    </row>
    <row r="123" spans="8:10" x14ac:dyDescent="0.25">
      <c r="J123" s="8"/>
    </row>
    <row r="124" spans="8:10" x14ac:dyDescent="0.25">
      <c r="H124" s="15">
        <f t="shared" ref="H124" si="54">H120+1</f>
        <v>40</v>
      </c>
      <c r="I124" s="15">
        <f t="shared" si="37"/>
        <v>29</v>
      </c>
      <c r="J124" s="8" t="str">
        <f t="shared" si="45"/>
        <v>-- 29</v>
      </c>
    </row>
    <row r="125" spans="8:10" x14ac:dyDescent="0.25">
      <c r="J125" s="8" t="str">
        <f t="shared" ca="1" si="43"/>
        <v>INSERT INTO public.acessos(login, senha) values ('bruno1', '123');</v>
      </c>
    </row>
    <row r="126" spans="8:10" x14ac:dyDescent="0.25">
      <c r="J126" s="8" t="str">
        <f t="shared" ca="1" si="46"/>
        <v>INSERT INTO public.usuarios(id_usuario, nome, nivel_acesso) values (29, 'Bruno Moura', 'Vendedor');</v>
      </c>
    </row>
    <row r="127" spans="8:10" x14ac:dyDescent="0.25">
      <c r="J127" s="8"/>
    </row>
    <row r="128" spans="8:10" x14ac:dyDescent="0.25">
      <c r="H128" s="15">
        <f t="shared" ref="H128" si="55">H124+1</f>
        <v>41</v>
      </c>
      <c r="I128" s="15">
        <f t="shared" si="37"/>
        <v>30</v>
      </c>
      <c r="J128" s="8" t="str">
        <f t="shared" si="45"/>
        <v>-- 30</v>
      </c>
    </row>
    <row r="129" spans="8:10" x14ac:dyDescent="0.25">
      <c r="J129" s="8" t="str">
        <f t="shared" ca="1" si="43"/>
        <v>INSERT INTO public.acessos(login, senha) values ('fernando1', '123');</v>
      </c>
    </row>
    <row r="130" spans="8:10" x14ac:dyDescent="0.25">
      <c r="J130" s="8" t="str">
        <f t="shared" ca="1" si="46"/>
        <v>INSERT INTO public.usuarios(id_usuario, nome, nivel_acesso) values (30, 'Fernando Pereira', 'Vendedor');</v>
      </c>
    </row>
    <row r="131" spans="8:10" x14ac:dyDescent="0.25">
      <c r="J131" s="8"/>
    </row>
    <row r="132" spans="8:10" x14ac:dyDescent="0.25">
      <c r="H132" s="15">
        <f t="shared" ref="H132" si="56">H128+1</f>
        <v>42</v>
      </c>
      <c r="I132" s="15">
        <f t="shared" ref="I132:I192" si="57">I128+1</f>
        <v>31</v>
      </c>
      <c r="J132" s="8" t="str">
        <f t="shared" si="45"/>
        <v>-- 31</v>
      </c>
    </row>
    <row r="133" spans="8:10" x14ac:dyDescent="0.25">
      <c r="J133" s="8" t="str">
        <f t="shared" ca="1" si="43"/>
        <v>INSERT INTO public.acessos(login, senha) values ('israel1', '123');</v>
      </c>
    </row>
    <row r="134" spans="8:10" x14ac:dyDescent="0.25">
      <c r="J134" s="8" t="str">
        <f t="shared" ca="1" si="46"/>
        <v>INSERT INTO public.usuarios(id_usuario, nome, nivel_acesso) values (31, 'Israel Mendes', 'Vendedor');</v>
      </c>
    </row>
    <row r="135" spans="8:10" x14ac:dyDescent="0.25">
      <c r="J135" s="8"/>
    </row>
    <row r="136" spans="8:10" x14ac:dyDescent="0.25">
      <c r="H136" s="15">
        <f t="shared" ref="H136" si="58">H132+1</f>
        <v>43</v>
      </c>
      <c r="I136" s="15">
        <f t="shared" si="57"/>
        <v>32</v>
      </c>
      <c r="J136" s="8" t="str">
        <f t="shared" si="45"/>
        <v>-- 32</v>
      </c>
    </row>
    <row r="137" spans="8:10" x14ac:dyDescent="0.25">
      <c r="J137" s="8" t="str">
        <f t="shared" ca="1" si="43"/>
        <v>INSERT INTO public.acessos(login, senha) values ('juliana1', '123');</v>
      </c>
    </row>
    <row r="138" spans="8:10" x14ac:dyDescent="0.25">
      <c r="J138" s="8" t="str">
        <f t="shared" ca="1" si="46"/>
        <v>INSERT INTO public.usuarios(id_usuario, nome, nivel_acesso) values (32, 'Juliana Araujo', 'Vendedor');</v>
      </c>
    </row>
    <row r="139" spans="8:10" x14ac:dyDescent="0.25">
      <c r="J139" s="8"/>
    </row>
    <row r="140" spans="8:10" x14ac:dyDescent="0.25">
      <c r="H140" s="15">
        <f t="shared" ref="H140" si="59">H136+1</f>
        <v>44</v>
      </c>
      <c r="I140" s="15">
        <f t="shared" si="57"/>
        <v>33</v>
      </c>
      <c r="J140" s="8" t="str">
        <f t="shared" si="45"/>
        <v>-- 33</v>
      </c>
    </row>
    <row r="141" spans="8:10" x14ac:dyDescent="0.25">
      <c r="J141" s="8" t="str">
        <f t="shared" ca="1" si="43"/>
        <v>INSERT INTO public.acessos(login, senha) values ('tadeu1', '123');</v>
      </c>
    </row>
    <row r="142" spans="8:10" x14ac:dyDescent="0.25">
      <c r="J142" s="8" t="str">
        <f t="shared" ca="1" si="46"/>
        <v>INSERT INTO public.usuarios(id_usuario, nome, nivel_acesso) values (33, 'Tadeu Fernandes da Silva', 'Vendedor');</v>
      </c>
    </row>
    <row r="143" spans="8:10" x14ac:dyDescent="0.25">
      <c r="J143" s="8"/>
    </row>
    <row r="144" spans="8:10" x14ac:dyDescent="0.25">
      <c r="H144" s="15">
        <f t="shared" ref="H144" si="60">H140+1</f>
        <v>45</v>
      </c>
      <c r="I144" s="15">
        <f t="shared" si="57"/>
        <v>34</v>
      </c>
      <c r="J144" s="8" t="str">
        <f t="shared" si="45"/>
        <v>-- 34</v>
      </c>
    </row>
    <row r="145" spans="8:10" x14ac:dyDescent="0.25">
      <c r="J145" s="8" t="str">
        <f t="shared" ca="1" si="43"/>
        <v>INSERT INTO public.acessos(login, senha) values ('maria1', '123');</v>
      </c>
    </row>
    <row r="146" spans="8:10" x14ac:dyDescent="0.25">
      <c r="J146" s="8" t="str">
        <f t="shared" ca="1" si="46"/>
        <v>INSERT INTO public.usuarios(id_usuario, nome, nivel_acesso) values (34, 'Maria Aparecida', 'Vendedor');</v>
      </c>
    </row>
    <row r="147" spans="8:10" x14ac:dyDescent="0.25">
      <c r="J147" s="8"/>
    </row>
    <row r="148" spans="8:10" x14ac:dyDescent="0.25">
      <c r="H148" s="15">
        <f t="shared" ref="H148" si="61">H144+1</f>
        <v>46</v>
      </c>
      <c r="I148" s="15">
        <f t="shared" si="57"/>
        <v>35</v>
      </c>
      <c r="J148" s="8" t="str">
        <f t="shared" si="45"/>
        <v>-- 35</v>
      </c>
    </row>
    <row r="149" spans="8:10" x14ac:dyDescent="0.25">
      <c r="J149" s="8" t="str">
        <f t="shared" ca="1" si="43"/>
        <v>INSERT INTO public.acessos(login, senha) values ('giovana1', '123');</v>
      </c>
    </row>
    <row r="150" spans="8:10" x14ac:dyDescent="0.25">
      <c r="J150" s="8" t="str">
        <f t="shared" ca="1" si="46"/>
        <v>INSERT INTO public.usuarios(id_usuario, nome, nivel_acesso) values (35, 'Giovana Santos', 'Vendedor');</v>
      </c>
    </row>
    <row r="151" spans="8:10" x14ac:dyDescent="0.25">
      <c r="J151" s="8"/>
    </row>
    <row r="152" spans="8:10" x14ac:dyDescent="0.25">
      <c r="H152" s="15">
        <f t="shared" ref="H152" si="62">H148+1</f>
        <v>47</v>
      </c>
      <c r="I152" s="15">
        <f t="shared" si="57"/>
        <v>36</v>
      </c>
      <c r="J152" s="8" t="str">
        <f t="shared" si="45"/>
        <v>-- 36</v>
      </c>
    </row>
    <row r="153" spans="8:10" x14ac:dyDescent="0.25">
      <c r="J153" s="8" t="str">
        <f t="shared" ref="J153:J209" ca="1" si="63">CONCATENATE($J$3,INDIRECT(CONCATENATE("C",H152)), $J$5, $J$8,$J$7)</f>
        <v>INSERT INTO public.acessos(login, senha) values ('roberta1', '123');</v>
      </c>
    </row>
    <row r="154" spans="8:10" x14ac:dyDescent="0.25">
      <c r="J154" s="8" t="str">
        <f t="shared" ca="1" si="46"/>
        <v>INSERT INTO public.usuarios(id_usuario, nome, nivel_acesso) values (36, 'Roberta Oliveira', 'Vendedor');</v>
      </c>
    </row>
    <row r="155" spans="8:10" x14ac:dyDescent="0.25">
      <c r="J155" s="8"/>
    </row>
    <row r="156" spans="8:10" x14ac:dyDescent="0.25">
      <c r="H156" s="15">
        <f t="shared" ref="H156" si="64">H152+1</f>
        <v>48</v>
      </c>
      <c r="I156" s="15">
        <f t="shared" si="57"/>
        <v>37</v>
      </c>
      <c r="J156" s="8" t="str">
        <f t="shared" ref="J156:J208" si="65">CONCATENATE($J$2,I156)</f>
        <v>-- 37</v>
      </c>
    </row>
    <row r="157" spans="8:10" x14ac:dyDescent="0.25">
      <c r="J157" s="8" t="str">
        <f t="shared" ca="1" si="63"/>
        <v>INSERT INTO public.acessos(login, senha) values ('rodrigo2', '123');</v>
      </c>
    </row>
    <row r="158" spans="8:10" x14ac:dyDescent="0.25">
      <c r="J158" s="8" t="str">
        <f t="shared" ref="J158:J210" ca="1" si="66">CONCATENATE($J$4,I156, $J$6, INDIRECT(CONCATENATE("B",H156)),$J$5,INDIRECT(CONCATENATE("D",H156)),$J$7)</f>
        <v>INSERT INTO public.usuarios(id_usuario, nome, nivel_acesso) values (37, 'Rodrigo Souza', 'Vendedor');</v>
      </c>
    </row>
    <row r="159" spans="8:10" x14ac:dyDescent="0.25">
      <c r="J159" s="8"/>
    </row>
    <row r="160" spans="8:10" x14ac:dyDescent="0.25">
      <c r="H160" s="15">
        <f t="shared" ref="H160" si="67">H156+1</f>
        <v>49</v>
      </c>
      <c r="I160" s="15">
        <f t="shared" si="57"/>
        <v>38</v>
      </c>
      <c r="J160" s="8" t="str">
        <f t="shared" si="65"/>
        <v>-- 38</v>
      </c>
    </row>
    <row r="161" spans="8:10" x14ac:dyDescent="0.25">
      <c r="J161" s="8" t="str">
        <f t="shared" ca="1" si="63"/>
        <v>INSERT INTO public.acessos(login, senha) values ('carlos2', '123');</v>
      </c>
    </row>
    <row r="162" spans="8:10" x14ac:dyDescent="0.25">
      <c r="J162" s="8" t="str">
        <f t="shared" ca="1" si="66"/>
        <v>INSERT INTO public.usuarios(id_usuario, nome, nivel_acesso) values (38, 'Carlos Rodrigues', 'Vendedor');</v>
      </c>
    </row>
    <row r="163" spans="8:10" x14ac:dyDescent="0.25">
      <c r="J163" s="8"/>
    </row>
    <row r="164" spans="8:10" x14ac:dyDescent="0.25">
      <c r="H164" s="15">
        <f t="shared" ref="H164" si="68">H160+1</f>
        <v>50</v>
      </c>
      <c r="I164" s="15">
        <f t="shared" si="57"/>
        <v>39</v>
      </c>
      <c r="J164" s="8" t="str">
        <f t="shared" si="65"/>
        <v>-- 39</v>
      </c>
    </row>
    <row r="165" spans="8:10" x14ac:dyDescent="0.25">
      <c r="J165" s="8" t="str">
        <f t="shared" ca="1" si="63"/>
        <v>INSERT INTO public.acessos(login, senha) values ('wellington1', '123');</v>
      </c>
    </row>
    <row r="166" spans="8:10" x14ac:dyDescent="0.25">
      <c r="J166" s="8" t="str">
        <f t="shared" ca="1" si="66"/>
        <v>INSERT INTO public.usuarios(id_usuario, nome, nivel_acesso) values (39, 'Wellington Henrique', 'Vendedor');</v>
      </c>
    </row>
    <row r="167" spans="8:10" x14ac:dyDescent="0.25">
      <c r="J167" s="8"/>
    </row>
    <row r="168" spans="8:10" x14ac:dyDescent="0.25">
      <c r="H168" s="15">
        <f t="shared" ref="H168" si="69">H164+1</f>
        <v>51</v>
      </c>
      <c r="I168" s="15">
        <f t="shared" si="57"/>
        <v>40</v>
      </c>
      <c r="J168" s="8" t="str">
        <f t="shared" si="65"/>
        <v>-- 40</v>
      </c>
    </row>
    <row r="169" spans="8:10" x14ac:dyDescent="0.25">
      <c r="J169" s="8" t="str">
        <f t="shared" ca="1" si="63"/>
        <v>INSERT INTO public.acessos(login, senha) values ('andre1', '123');</v>
      </c>
    </row>
    <row r="170" spans="8:10" x14ac:dyDescent="0.25">
      <c r="J170" s="8" t="str">
        <f t="shared" ca="1" si="66"/>
        <v>INSERT INTO public.usuarios(id_usuario, nome, nivel_acesso) values (40, 'Andre Nunes', 'Vendedor');</v>
      </c>
    </row>
    <row r="171" spans="8:10" x14ac:dyDescent="0.25">
      <c r="J171" s="8"/>
    </row>
    <row r="172" spans="8:10" x14ac:dyDescent="0.25">
      <c r="H172" s="15">
        <f t="shared" ref="H172" si="70">H168+1</f>
        <v>52</v>
      </c>
      <c r="I172" s="15">
        <f t="shared" si="57"/>
        <v>41</v>
      </c>
      <c r="J172" s="8" t="str">
        <f t="shared" si="65"/>
        <v>-- 41</v>
      </c>
    </row>
    <row r="173" spans="8:10" x14ac:dyDescent="0.25">
      <c r="J173" s="8" t="str">
        <f t="shared" ca="1" si="63"/>
        <v>INSERT INTO public.acessos(login, senha) values ('israel2', '123');</v>
      </c>
    </row>
    <row r="174" spans="8:10" x14ac:dyDescent="0.25">
      <c r="J174" s="8" t="str">
        <f t="shared" ca="1" si="66"/>
        <v>INSERT INTO public.usuarios(id_usuario, nome, nivel_acesso) values (41, 'Israel Neves', 'Vendedor');</v>
      </c>
    </row>
    <row r="175" spans="8:10" x14ac:dyDescent="0.25">
      <c r="J175" s="8"/>
    </row>
    <row r="176" spans="8:10" x14ac:dyDescent="0.25">
      <c r="H176" s="15">
        <f t="shared" ref="H176" si="71">H172+1</f>
        <v>53</v>
      </c>
      <c r="I176" s="15">
        <f t="shared" si="57"/>
        <v>42</v>
      </c>
      <c r="J176" s="8" t="str">
        <f t="shared" si="65"/>
        <v>-- 42</v>
      </c>
    </row>
    <row r="177" spans="8:10" x14ac:dyDescent="0.25">
      <c r="J177" s="8" t="str">
        <f t="shared" ca="1" si="63"/>
        <v>INSERT INTO public.acessos(login, senha) values ('carlos3', '123');</v>
      </c>
    </row>
    <row r="178" spans="8:10" x14ac:dyDescent="0.25">
      <c r="J178" s="8" t="str">
        <f t="shared" ca="1" si="66"/>
        <v>INSERT INTO public.usuarios(id_usuario, nome, nivel_acesso) values (42, 'Carlos Antunes', 'Vendedor');</v>
      </c>
    </row>
    <row r="179" spans="8:10" x14ac:dyDescent="0.25">
      <c r="J179" s="8"/>
    </row>
    <row r="180" spans="8:10" x14ac:dyDescent="0.25">
      <c r="H180" s="15">
        <f t="shared" ref="H180" si="72">H176+1</f>
        <v>54</v>
      </c>
      <c r="I180" s="15">
        <f t="shared" si="57"/>
        <v>43</v>
      </c>
      <c r="J180" s="8" t="str">
        <f t="shared" si="65"/>
        <v>-- 43</v>
      </c>
    </row>
    <row r="181" spans="8:10" x14ac:dyDescent="0.25">
      <c r="J181" s="8" t="str">
        <f t="shared" ca="1" si="63"/>
        <v>INSERT INTO public.acessos(login, senha) values ('marcos1', '123');</v>
      </c>
    </row>
    <row r="182" spans="8:10" x14ac:dyDescent="0.25">
      <c r="J182" s="8" t="str">
        <f t="shared" ca="1" si="66"/>
        <v>INSERT INTO public.usuarios(id_usuario, nome, nivel_acesso) values (43, 'Marcos Oliveira', 'Vendedor');</v>
      </c>
    </row>
    <row r="183" spans="8:10" x14ac:dyDescent="0.25">
      <c r="J183" s="8"/>
    </row>
    <row r="184" spans="8:10" x14ac:dyDescent="0.25">
      <c r="H184" s="15">
        <f t="shared" ref="H184" si="73">H180+1</f>
        <v>55</v>
      </c>
      <c r="I184" s="15">
        <f t="shared" si="57"/>
        <v>44</v>
      </c>
      <c r="J184" s="8" t="str">
        <f t="shared" si="65"/>
        <v>-- 44</v>
      </c>
    </row>
    <row r="185" spans="8:10" x14ac:dyDescent="0.25">
      <c r="J185" s="8" t="str">
        <f t="shared" ca="1" si="63"/>
        <v>INSERT INTO public.acessos(login, senha) values ('giovane1', '123');</v>
      </c>
    </row>
    <row r="186" spans="8:10" x14ac:dyDescent="0.25">
      <c r="J186" s="8" t="str">
        <f t="shared" ca="1" si="66"/>
        <v>INSERT INTO public.usuarios(id_usuario, nome, nivel_acesso) values (44, 'Giovane Matos', 'Vendedor');</v>
      </c>
    </row>
    <row r="187" spans="8:10" x14ac:dyDescent="0.25">
      <c r="J187" s="8"/>
    </row>
    <row r="188" spans="8:10" x14ac:dyDescent="0.25">
      <c r="H188" s="15">
        <f t="shared" ref="H188" si="74">H184+1</f>
        <v>56</v>
      </c>
      <c r="I188" s="15">
        <f t="shared" si="57"/>
        <v>45</v>
      </c>
      <c r="J188" s="8" t="str">
        <f t="shared" si="65"/>
        <v>-- 45</v>
      </c>
    </row>
    <row r="189" spans="8:10" x14ac:dyDescent="0.25">
      <c r="J189" s="8" t="str">
        <f t="shared" ca="1" si="63"/>
        <v>INSERT INTO public.acessos(login, senha) values ('guilherme1', '123');</v>
      </c>
    </row>
    <row r="190" spans="8:10" x14ac:dyDescent="0.25">
      <c r="J190" s="8" t="str">
        <f t="shared" ca="1" si="66"/>
        <v>INSERT INTO public.usuarios(id_usuario, nome, nivel_acesso) values (45, 'Guilherme Cardoso', 'Vendedor');</v>
      </c>
    </row>
    <row r="191" spans="8:10" x14ac:dyDescent="0.25">
      <c r="J191" s="8"/>
    </row>
    <row r="192" spans="8:10" x14ac:dyDescent="0.25">
      <c r="H192" s="15">
        <f t="shared" ref="H192" si="75">H188+1</f>
        <v>57</v>
      </c>
      <c r="I192" s="15">
        <f t="shared" si="57"/>
        <v>46</v>
      </c>
      <c r="J192" s="8" t="str">
        <f t="shared" si="65"/>
        <v>-- 46</v>
      </c>
    </row>
    <row r="193" spans="8:10" x14ac:dyDescent="0.25">
      <c r="J193" s="8" t="str">
        <f t="shared" ca="1" si="63"/>
        <v>INSERT INTO public.acessos(login, senha) values ('lucas1', '123');</v>
      </c>
    </row>
    <row r="194" spans="8:10" x14ac:dyDescent="0.25">
      <c r="J194" s="8" t="str">
        <f t="shared" ca="1" si="66"/>
        <v>INSERT INTO public.usuarios(id_usuario, nome, nivel_acesso) values (46, 'Lucas Nunes', 'Vendedor');</v>
      </c>
    </row>
    <row r="195" spans="8:10" x14ac:dyDescent="0.25">
      <c r="J195" s="8"/>
    </row>
    <row r="196" spans="8:10" x14ac:dyDescent="0.25">
      <c r="H196" s="15">
        <f t="shared" ref="H196" si="76">H192+1</f>
        <v>58</v>
      </c>
      <c r="I196" s="15">
        <f t="shared" ref="I196:I208" si="77">I192+1</f>
        <v>47</v>
      </c>
      <c r="J196" s="8" t="str">
        <f t="shared" si="65"/>
        <v>-- 47</v>
      </c>
    </row>
    <row r="197" spans="8:10" x14ac:dyDescent="0.25">
      <c r="J197" s="8" t="str">
        <f t="shared" ca="1" si="63"/>
        <v>INSERT INTO public.acessos(login, senha) values ('pedro3', '123');</v>
      </c>
    </row>
    <row r="198" spans="8:10" x14ac:dyDescent="0.25">
      <c r="J198" s="8" t="str">
        <f t="shared" ca="1" si="66"/>
        <v>INSERT INTO public.usuarios(id_usuario, nome, nivel_acesso) values (47, 'Pedro Henrique', 'Vendedor');</v>
      </c>
    </row>
    <row r="199" spans="8:10" x14ac:dyDescent="0.25">
      <c r="J199" s="8"/>
    </row>
    <row r="200" spans="8:10" x14ac:dyDescent="0.25">
      <c r="H200" s="15">
        <f t="shared" ref="H200" si="78">H196+1</f>
        <v>59</v>
      </c>
      <c r="I200" s="15">
        <f t="shared" si="77"/>
        <v>48</v>
      </c>
      <c r="J200" s="8" t="str">
        <f t="shared" si="65"/>
        <v>-- 48</v>
      </c>
    </row>
    <row r="201" spans="8:10" x14ac:dyDescent="0.25">
      <c r="J201" s="8" t="str">
        <f t="shared" ca="1" si="63"/>
        <v>INSERT INTO public.acessos(login, senha) values ('manoel2', '123');</v>
      </c>
    </row>
    <row r="202" spans="8:10" x14ac:dyDescent="0.25">
      <c r="J202" s="8" t="str">
        <f t="shared" ca="1" si="66"/>
        <v>INSERT INTO public.usuarios(id_usuario, nome, nivel_acesso) values (48, 'Manoel Miranda', 'Vendedor');</v>
      </c>
    </row>
    <row r="203" spans="8:10" x14ac:dyDescent="0.25">
      <c r="J203" s="8"/>
    </row>
    <row r="204" spans="8:10" x14ac:dyDescent="0.25">
      <c r="H204" s="15">
        <f t="shared" ref="H204" si="79">H200+1</f>
        <v>60</v>
      </c>
      <c r="I204" s="15">
        <f t="shared" si="77"/>
        <v>49</v>
      </c>
      <c r="J204" s="8" t="str">
        <f t="shared" si="65"/>
        <v>-- 49</v>
      </c>
    </row>
    <row r="205" spans="8:10" x14ac:dyDescent="0.25">
      <c r="J205" s="8" t="str">
        <f t="shared" ca="1" si="63"/>
        <v>INSERT INTO public.acessos(login, senha) values ('carlos4', '123');</v>
      </c>
    </row>
    <row r="206" spans="8:10" x14ac:dyDescent="0.25">
      <c r="J206" s="8" t="str">
        <f t="shared" ca="1" si="66"/>
        <v>INSERT INTO public.usuarios(id_usuario, nome, nivel_acesso) values (49, 'Carlos Eduardo Menezes', 'Vendedor');</v>
      </c>
    </row>
    <row r="207" spans="8:10" x14ac:dyDescent="0.25">
      <c r="J207" s="8"/>
    </row>
    <row r="208" spans="8:10" x14ac:dyDescent="0.25">
      <c r="H208" s="15">
        <f t="shared" ref="H208" si="80">H204+1</f>
        <v>61</v>
      </c>
      <c r="I208" s="15">
        <f t="shared" si="77"/>
        <v>50</v>
      </c>
      <c r="J208" s="8" t="str">
        <f t="shared" si="65"/>
        <v>-- 50</v>
      </c>
    </row>
    <row r="209" spans="10:10" x14ac:dyDescent="0.25">
      <c r="J209" s="8" t="str">
        <f t="shared" ca="1" si="63"/>
        <v>INSERT INTO public.acessos(login, senha) values ('patricia1', '123');</v>
      </c>
    </row>
    <row r="210" spans="10:10" x14ac:dyDescent="0.25">
      <c r="J210" s="8" t="str">
        <f t="shared" ca="1" si="66"/>
        <v>INSERT INTO public.usuarios(id_usuario, nome, nivel_acesso) values (50, 'Patricia Correia da Silva', 'Vendedor');</v>
      </c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9" tint="0.59999389629810485"/>
  </sheetPr>
  <dimension ref="A2:U213"/>
  <sheetViews>
    <sheetView showGridLines="0" topLeftCell="G1" zoomScale="85" zoomScaleNormal="85" workbookViewId="0">
      <selection activeCell="E16" sqref="E16"/>
    </sheetView>
  </sheetViews>
  <sheetFormatPr defaultRowHeight="15" x14ac:dyDescent="0.25"/>
  <cols>
    <col min="1" max="1" width="9.140625" style="1"/>
    <col min="2" max="2" width="44.28515625" style="5" customWidth="1"/>
    <col min="3" max="3" width="16.42578125" style="1" customWidth="1"/>
    <col min="4" max="4" width="15" style="1" customWidth="1"/>
    <col min="5" max="5" width="42.85546875" style="1" customWidth="1"/>
    <col min="6" max="6" width="35.5703125" style="1" customWidth="1"/>
    <col min="7" max="7" width="9.28515625" style="1" customWidth="1"/>
    <col min="8" max="8" width="14.140625" style="1" customWidth="1"/>
    <col min="9" max="9" width="12.28515625" style="1" customWidth="1"/>
    <col min="10" max="10" width="1.7109375" style="1" customWidth="1"/>
    <col min="11" max="11" width="10.42578125" style="1" customWidth="1"/>
    <col min="12" max="12" width="13.5703125" style="1" customWidth="1"/>
    <col min="13" max="13" width="1.7109375" style="1" customWidth="1"/>
    <col min="14" max="14" width="11.85546875" style="1" customWidth="1"/>
    <col min="15" max="18" width="9.140625" style="1"/>
    <col min="19" max="19" width="255.7109375" style="5" customWidth="1"/>
    <col min="20" max="16384" width="9.140625" style="1"/>
  </cols>
  <sheetData>
    <row r="2" spans="1:19" x14ac:dyDescent="0.25">
      <c r="B2" s="5" t="s">
        <v>115</v>
      </c>
      <c r="F2" s="6" t="s">
        <v>116</v>
      </c>
      <c r="S2" s="13" t="s">
        <v>106</v>
      </c>
    </row>
    <row r="3" spans="1:19" x14ac:dyDescent="0.25">
      <c r="B3" s="5" t="s">
        <v>117</v>
      </c>
      <c r="S3" s="14"/>
    </row>
    <row r="4" spans="1:19" x14ac:dyDescent="0.25">
      <c r="B4" s="5" t="s">
        <v>118</v>
      </c>
      <c r="F4" s="16" t="s">
        <v>119</v>
      </c>
      <c r="S4" s="14" t="s">
        <v>120</v>
      </c>
    </row>
    <row r="5" spans="1:19" x14ac:dyDescent="0.25">
      <c r="F5" s="16" t="s">
        <v>121</v>
      </c>
      <c r="S5" s="13" t="s">
        <v>111</v>
      </c>
    </row>
    <row r="6" spans="1:19" x14ac:dyDescent="0.25">
      <c r="F6" s="16" t="s">
        <v>122</v>
      </c>
      <c r="S6" s="13" t="s">
        <v>110</v>
      </c>
    </row>
    <row r="7" spans="1:19" x14ac:dyDescent="0.25">
      <c r="F7" s="16" t="s">
        <v>123</v>
      </c>
      <c r="S7" s="13" t="s">
        <v>112</v>
      </c>
    </row>
    <row r="8" spans="1:19" x14ac:dyDescent="0.25">
      <c r="S8" s="14">
        <v>123</v>
      </c>
    </row>
    <row r="10" spans="1:19" ht="24" customHeight="1" x14ac:dyDescent="0.25">
      <c r="A10" s="6" t="s">
        <v>3</v>
      </c>
      <c r="B10" s="6" t="s">
        <v>1</v>
      </c>
      <c r="C10" s="6" t="s">
        <v>124</v>
      </c>
      <c r="D10" s="6" t="s">
        <v>125</v>
      </c>
      <c r="E10" s="6" t="s">
        <v>126</v>
      </c>
      <c r="F10" s="6" t="s">
        <v>127</v>
      </c>
      <c r="G10" s="6" t="s">
        <v>128</v>
      </c>
      <c r="H10" s="6" t="s">
        <v>129</v>
      </c>
      <c r="I10" s="6" t="s">
        <v>130</v>
      </c>
      <c r="K10" s="6" t="s">
        <v>131</v>
      </c>
      <c r="L10" s="6" t="s">
        <v>132</v>
      </c>
      <c r="N10" s="6" t="s">
        <v>133</v>
      </c>
      <c r="S10" s="6" t="s">
        <v>113</v>
      </c>
    </row>
    <row r="11" spans="1:19" customFormat="1" ht="6.75" customHeight="1" x14ac:dyDescent="0.25">
      <c r="C11" s="17"/>
      <c r="D11" s="17"/>
      <c r="E11" s="17"/>
      <c r="F11" s="17"/>
      <c r="G11" s="17"/>
      <c r="H11" s="17"/>
      <c r="I11" s="17"/>
      <c r="S11" s="2"/>
    </row>
    <row r="12" spans="1:19" x14ac:dyDescent="0.25">
      <c r="A12" s="7">
        <v>1</v>
      </c>
      <c r="B12" s="3" t="s">
        <v>134</v>
      </c>
      <c r="C12" s="18">
        <v>47944845000107</v>
      </c>
      <c r="D12" s="10">
        <v>2894169211</v>
      </c>
      <c r="E12" s="10" t="str">
        <f>CONCATENATE(LOWER(SUBSTITUTE(Fornecedores!B12," ","")),"@gmail.com")</f>
        <v>mariocardosodemelo@gmail.com</v>
      </c>
      <c r="F12" s="10" t="str">
        <f t="shared" ref="F12:F43" ca="1" si="0">CONCATENATE(
INDIRECT(  CONCATENATE("F", RANDBETWEEN(4,7))  ),
INDIRECT(  CONCATENATE("B", RANDBETWEEN(12,61)))
)</f>
        <v>R. Prof. Lucas Nunes</v>
      </c>
      <c r="G12" s="10">
        <f t="shared" ref="G12:G43" ca="1" si="1">RANDBETWEEN(50,1500)</f>
        <v>946</v>
      </c>
      <c r="H12" s="10" t="s">
        <v>135</v>
      </c>
      <c r="I12" s="10" t="s">
        <v>136</v>
      </c>
      <c r="K12" s="10" t="str">
        <f t="shared" ref="K12:K27" si="2">IF(COUNTIF($C$12:$C$61,C12)&gt;1,COUNTIF($C$12:$C$61,C12),"-")</f>
        <v>-</v>
      </c>
      <c r="L12" s="10" t="str">
        <f t="shared" ref="L12:L43" si="3">IF(LEN(C12) = 14, "-", LEN(C12))</f>
        <v>-</v>
      </c>
      <c r="N12" s="10" t="str">
        <f t="shared" ref="N12:N43" si="4">IF(LEN(D12) = 10, "-", LEN(D12))</f>
        <v>-</v>
      </c>
      <c r="Q12" s="15">
        <v>12</v>
      </c>
      <c r="R12" s="15">
        <v>1</v>
      </c>
      <c r="S12" s="8" t="str">
        <f>CONCATENATE($S$2,R12)</f>
        <v>-- 1</v>
      </c>
    </row>
    <row r="13" spans="1:19" x14ac:dyDescent="0.25">
      <c r="A13" s="7">
        <v>2</v>
      </c>
      <c r="B13" s="4" t="s">
        <v>137</v>
      </c>
      <c r="C13" s="19">
        <v>30637058000101</v>
      </c>
      <c r="D13" s="9">
        <v>1723536062</v>
      </c>
      <c r="E13" s="9" t="str">
        <f>CONCATENATE(LOWER(SUBSTITUTE(Fornecedores!B13," ","")),"@gmail.com")</f>
        <v>luizcarlosdecampos@gmail.com</v>
      </c>
      <c r="F13" s="9" t="str">
        <f t="shared" ca="1" si="0"/>
        <v>R. Andre Nunes</v>
      </c>
      <c r="G13" s="9">
        <f t="shared" ca="1" si="1"/>
        <v>122</v>
      </c>
      <c r="H13" s="9" t="s">
        <v>138</v>
      </c>
      <c r="I13" s="9" t="s">
        <v>136</v>
      </c>
      <c r="K13" s="9" t="str">
        <f t="shared" si="2"/>
        <v>-</v>
      </c>
      <c r="L13" s="9" t="str">
        <f t="shared" si="3"/>
        <v>-</v>
      </c>
      <c r="N13" s="9" t="str">
        <f t="shared" si="4"/>
        <v>-</v>
      </c>
      <c r="S13" s="8" t="str">
        <f ca="1">CONCATENATE(
$S$4,
INDIRECT(CONCATENATE("B",Q12)),$S$5,
INDIRECT(CONCATENATE("C",Q12)),$S$5,
INDIRECT(CONCATENATE("D",Q12)),$S$5,
INDIRECT(CONCATENATE("E",Q12)),$S$5,
INDIRECT(CONCATENATE("F",Q12)),$S$5,
INDIRECT(CONCATENATE("G",Q12)),$S$5,
INDIRECT(CONCATENATE("H",Q12)),$S$5,
INDIRECT(CONCATENATE("I",Q12)),$S$7)</f>
        <v>INSERT INTO public.fornecedores(nome, cnpj, telefone, email, rua, numero, cidade, estado) VALUES ('Mario Cardoso de Melo', '47944845000107', '2894169211', 'mariocardosodemelo@gmail.com', 'R. Prof. Lucas Nunes', '946', 'Sorocaba', 'SP');</v>
      </c>
    </row>
    <row r="14" spans="1:19" x14ac:dyDescent="0.25">
      <c r="A14" s="7">
        <v>3</v>
      </c>
      <c r="B14" s="3" t="s">
        <v>139</v>
      </c>
      <c r="C14" s="18">
        <v>14234998000101</v>
      </c>
      <c r="D14" s="10">
        <v>5419724524</v>
      </c>
      <c r="E14" s="10" t="str">
        <f>CONCATENATE(LOWER(SUBSTITUTE(Fornecedores!B14," ","")),"@gmail.com")</f>
        <v>henriquesouza@gmail.com</v>
      </c>
      <c r="F14" s="10" t="str">
        <f t="shared" ca="1" si="0"/>
        <v>R. Prof. Ruan Gomes</v>
      </c>
      <c r="G14" s="10">
        <f t="shared" ca="1" si="1"/>
        <v>1070</v>
      </c>
      <c r="H14" s="10" t="s">
        <v>140</v>
      </c>
      <c r="I14" s="10" t="s">
        <v>141</v>
      </c>
      <c r="K14" s="10" t="str">
        <f t="shared" si="2"/>
        <v>-</v>
      </c>
      <c r="L14" s="10" t="str">
        <f t="shared" si="3"/>
        <v>-</v>
      </c>
      <c r="N14" s="10" t="str">
        <f t="shared" si="4"/>
        <v>-</v>
      </c>
      <c r="S14" s="8"/>
    </row>
    <row r="15" spans="1:19" x14ac:dyDescent="0.25">
      <c r="A15" s="7">
        <v>4</v>
      </c>
      <c r="B15" s="4" t="s">
        <v>8</v>
      </c>
      <c r="C15" s="19">
        <v>38116482000112</v>
      </c>
      <c r="D15" s="9">
        <v>1960148472</v>
      </c>
      <c r="E15" s="9" t="str">
        <f>CONCATENATE(LOWER(SUBSTITUTE(Fornecedores!B15," ","")),"@gmail.com")</f>
        <v>josepinheirodemelo@gmail.com</v>
      </c>
      <c r="F15" s="9" t="str">
        <f t="shared" ca="1" si="0"/>
        <v>Av. Roberta da Silva Santos</v>
      </c>
      <c r="G15" s="9">
        <f t="shared" ca="1" si="1"/>
        <v>1164</v>
      </c>
      <c r="H15" s="9" t="s">
        <v>142</v>
      </c>
      <c r="I15" s="9" t="s">
        <v>141</v>
      </c>
      <c r="K15" s="9" t="str">
        <f t="shared" si="2"/>
        <v>-</v>
      </c>
      <c r="L15" s="9" t="str">
        <f t="shared" si="3"/>
        <v>-</v>
      </c>
      <c r="N15" s="9" t="str">
        <f t="shared" si="4"/>
        <v>-</v>
      </c>
      <c r="Q15" s="15">
        <f>Q12+1</f>
        <v>13</v>
      </c>
      <c r="R15" s="15">
        <f>R12+1</f>
        <v>2</v>
      </c>
      <c r="S15" s="8" t="str">
        <f>CONCATENATE($S$2,R15)</f>
        <v>-- 2</v>
      </c>
    </row>
    <row r="16" spans="1:19" x14ac:dyDescent="0.25">
      <c r="A16" s="7">
        <v>5</v>
      </c>
      <c r="B16" s="3" t="s">
        <v>143</v>
      </c>
      <c r="C16" s="18">
        <v>74366083000173</v>
      </c>
      <c r="D16" s="10">
        <v>1907835027</v>
      </c>
      <c r="E16" s="10" t="str">
        <f>CONCATENATE(LOWER(SUBSTITUTE(Fornecedores!B16," ","")),"@gmail.com")</f>
        <v>vicentedoamaralneto@gmail.com</v>
      </c>
      <c r="F16" s="10" t="str">
        <f t="shared" ca="1" si="0"/>
        <v>Av. Marcos da Silva Santos</v>
      </c>
      <c r="G16" s="10">
        <f t="shared" ca="1" si="1"/>
        <v>1182</v>
      </c>
      <c r="H16" s="10" t="s">
        <v>144</v>
      </c>
      <c r="I16" s="10" t="s">
        <v>145</v>
      </c>
      <c r="K16" s="10" t="str">
        <f t="shared" si="2"/>
        <v>-</v>
      </c>
      <c r="L16" s="10" t="str">
        <f t="shared" si="3"/>
        <v>-</v>
      </c>
      <c r="N16" s="10" t="str">
        <f t="shared" si="4"/>
        <v>-</v>
      </c>
      <c r="S16" s="8" t="str">
        <f ca="1">CONCATENATE(
$S$4,
INDIRECT(CONCATENATE("B",Q15)),$S$5,
INDIRECT(CONCATENATE("C",Q15)),$S$5,
INDIRECT(CONCATENATE("D",Q15)),$S$5,
INDIRECT(CONCATENATE("E",Q15)),$S$5,
INDIRECT(CONCATENATE("F",Q15)),$S$5,
INDIRECT(CONCATENATE("G",Q15)),$S$5,
INDIRECT(CONCATENATE("H",Q15)),$S$5,
INDIRECT(CONCATENATE("I",Q15)),$S$7)</f>
        <v>INSERT INTO public.fornecedores(nome, cnpj, telefone, email, rua, numero, cidade, estado) VALUES ('Luiz Carlos de Campos', '30637058000101', '1723536062', 'luizcarlosdecampos@gmail.com', 'R. Andre Nunes', '122', 'Pilar do Sul', 'SP');</v>
      </c>
    </row>
    <row r="17" spans="1:21" x14ac:dyDescent="0.25">
      <c r="A17" s="7">
        <v>6</v>
      </c>
      <c r="B17" s="4" t="s">
        <v>11</v>
      </c>
      <c r="C17" s="19">
        <v>48893572000173</v>
      </c>
      <c r="D17" s="9">
        <v>2383272903</v>
      </c>
      <c r="E17" s="9" t="str">
        <f>CONCATENATE(LOWER(SUBSTITUTE(Fornecedores!B17," ","")),"@gmail.com")</f>
        <v>marisapereira@gmail.com</v>
      </c>
      <c r="F17" s="9" t="str">
        <f t="shared" ca="1" si="0"/>
        <v>R. Miguel Duarte</v>
      </c>
      <c r="G17" s="9">
        <f t="shared" ca="1" si="1"/>
        <v>255</v>
      </c>
      <c r="H17" s="9" t="s">
        <v>146</v>
      </c>
      <c r="I17" s="9" t="s">
        <v>147</v>
      </c>
      <c r="K17" s="9" t="str">
        <f t="shared" si="2"/>
        <v>-</v>
      </c>
      <c r="L17" s="9" t="str">
        <f t="shared" si="3"/>
        <v>-</v>
      </c>
      <c r="N17" s="9" t="str">
        <f t="shared" si="4"/>
        <v>-</v>
      </c>
      <c r="S17" s="8"/>
    </row>
    <row r="18" spans="1:21" x14ac:dyDescent="0.25">
      <c r="A18" s="7">
        <v>7</v>
      </c>
      <c r="B18" s="3" t="s">
        <v>10</v>
      </c>
      <c r="C18" s="18">
        <v>68090338000115</v>
      </c>
      <c r="D18" s="10">
        <v>5124543524</v>
      </c>
      <c r="E18" s="10" t="str">
        <f>CONCATENATE(LOWER(SUBSTITUTE(Fornecedores!B18," ","")),"@gmail.com")</f>
        <v>andersonandradejunqueira@gmail.com</v>
      </c>
      <c r="F18" s="10" t="str">
        <f t="shared" ca="1" si="0"/>
        <v>R. Prof. Marisa Pereira</v>
      </c>
      <c r="G18" s="10">
        <f t="shared" ca="1" si="1"/>
        <v>872</v>
      </c>
      <c r="H18" s="10" t="s">
        <v>148</v>
      </c>
      <c r="I18" s="10" t="s">
        <v>149</v>
      </c>
      <c r="K18" s="10" t="str">
        <f t="shared" si="2"/>
        <v>-</v>
      </c>
      <c r="L18" s="10" t="str">
        <f t="shared" si="3"/>
        <v>-</v>
      </c>
      <c r="N18" s="10" t="str">
        <f t="shared" si="4"/>
        <v>-</v>
      </c>
      <c r="Q18" s="15">
        <f>Q15+1</f>
        <v>14</v>
      </c>
      <c r="R18" s="15">
        <f>R15+1</f>
        <v>3</v>
      </c>
      <c r="S18" s="8" t="str">
        <f>CONCATENATE($S$2,R18)</f>
        <v>-- 3</v>
      </c>
    </row>
    <row r="19" spans="1:21" x14ac:dyDescent="0.25">
      <c r="A19" s="7">
        <v>8</v>
      </c>
      <c r="B19" s="4" t="s">
        <v>12</v>
      </c>
      <c r="C19" s="19">
        <v>75984940000161</v>
      </c>
      <c r="D19" s="9">
        <v>4508723961</v>
      </c>
      <c r="E19" s="9" t="str">
        <f>CONCATENATE(LOWER(SUBSTITUTE(Fornecedores!B19," ","")),"@gmail.com")</f>
        <v>danieladacostarodrigues@gmail.com</v>
      </c>
      <c r="F19" s="9" t="str">
        <f t="shared" ca="1" si="0"/>
        <v>R. Prof. Carlos Eduardo Menezes</v>
      </c>
      <c r="G19" s="9">
        <f t="shared" ca="1" si="1"/>
        <v>1261</v>
      </c>
      <c r="H19" s="9" t="s">
        <v>150</v>
      </c>
      <c r="I19" s="9" t="s">
        <v>151</v>
      </c>
      <c r="K19" s="9" t="str">
        <f t="shared" si="2"/>
        <v>-</v>
      </c>
      <c r="L19" s="9" t="str">
        <f t="shared" si="3"/>
        <v>-</v>
      </c>
      <c r="N19" s="9" t="str">
        <f t="shared" si="4"/>
        <v>-</v>
      </c>
      <c r="S19" s="8" t="str">
        <f ca="1">CONCATENATE(
$S$4,
INDIRECT(CONCATENATE("B",Q18)),$S$5,
INDIRECT(CONCATENATE("C",Q18)),$S$5,
INDIRECT(CONCATENATE("D",Q18)),$S$5,
INDIRECT(CONCATENATE("E",Q18)),$S$5,
INDIRECT(CONCATENATE("F",Q18)),$S$5,
INDIRECT(CONCATENATE("G",Q18)),$S$5,
INDIRECT(CONCATENATE("H",Q18)),$S$5,
INDIRECT(CONCATENATE("I",Q18)),$S$7)</f>
        <v>INSERT INTO public.fornecedores(nome, cnpj, telefone, email, rua, numero, cidade, estado) VALUES ('Henrique Souza', '14234998000101', '5419724524', 'henriquesouza@gmail.com', 'R. Prof. Ruan Gomes', '1070', 'Rio de Janeiro', 'RJ');</v>
      </c>
      <c r="U19" s="11"/>
    </row>
    <row r="20" spans="1:21" x14ac:dyDescent="0.25">
      <c r="A20" s="7">
        <v>9</v>
      </c>
      <c r="B20" s="3" t="s">
        <v>152</v>
      </c>
      <c r="C20" s="18">
        <v>67359020001524</v>
      </c>
      <c r="D20" s="10">
        <v>9332453969</v>
      </c>
      <c r="E20" s="10" t="str">
        <f>CONCATENATE(LOWER(SUBSTITUTE(Fornecedores!B20," ","")),"@gmail.com")</f>
        <v>antôniodaalbuquerquejunior@gmail.com</v>
      </c>
      <c r="F20" s="10" t="str">
        <f t="shared" ca="1" si="0"/>
        <v>R. Patricia Correia da Albuquerque</v>
      </c>
      <c r="G20" s="10">
        <f t="shared" ca="1" si="1"/>
        <v>485</v>
      </c>
      <c r="H20" s="10" t="s">
        <v>153</v>
      </c>
      <c r="I20" s="10" t="s">
        <v>154</v>
      </c>
      <c r="K20" s="10" t="str">
        <f t="shared" si="2"/>
        <v>-</v>
      </c>
      <c r="L20" s="10" t="str">
        <f t="shared" si="3"/>
        <v>-</v>
      </c>
      <c r="N20" s="10" t="str">
        <f t="shared" si="4"/>
        <v>-</v>
      </c>
      <c r="S20" s="8"/>
    </row>
    <row r="21" spans="1:21" x14ac:dyDescent="0.25">
      <c r="A21" s="7">
        <v>10</v>
      </c>
      <c r="B21" s="4" t="s">
        <v>155</v>
      </c>
      <c r="C21" s="19">
        <v>35667096000120</v>
      </c>
      <c r="D21" s="9">
        <v>4409845947</v>
      </c>
      <c r="E21" s="9" t="str">
        <f>CONCATENATE(LOWER(SUBSTITUTE(Fornecedores!B21," ","")),"@gmail.com")</f>
        <v>carloscorreiadaalbuquerque@gmail.com</v>
      </c>
      <c r="F21" s="9" t="str">
        <f t="shared" ca="1" si="0"/>
        <v>R. Carlos Eduardo Menezes</v>
      </c>
      <c r="G21" s="9">
        <f t="shared" ca="1" si="1"/>
        <v>326</v>
      </c>
      <c r="H21" s="9" t="s">
        <v>156</v>
      </c>
      <c r="I21" s="9" t="s">
        <v>157</v>
      </c>
      <c r="K21" s="9" t="str">
        <f t="shared" si="2"/>
        <v>-</v>
      </c>
      <c r="L21" s="9" t="str">
        <f t="shared" si="3"/>
        <v>-</v>
      </c>
      <c r="N21" s="9" t="str">
        <f t="shared" si="4"/>
        <v>-</v>
      </c>
      <c r="Q21" s="15">
        <f>Q18+1</f>
        <v>15</v>
      </c>
      <c r="R21" s="15">
        <f>R18+1</f>
        <v>4</v>
      </c>
      <c r="S21" s="8" t="str">
        <f>CONCATENATE($S$2,R21)</f>
        <v>-- 4</v>
      </c>
    </row>
    <row r="22" spans="1:21" x14ac:dyDescent="0.25">
      <c r="A22" s="7">
        <v>11</v>
      </c>
      <c r="B22" s="3" t="s">
        <v>158</v>
      </c>
      <c r="C22" s="18">
        <v>11356707000151</v>
      </c>
      <c r="D22" s="10">
        <v>3626873816</v>
      </c>
      <c r="E22" s="10" t="str">
        <f>CONCATENATE(LOWER(SUBSTITUTE(Fornecedores!B22," ","")),"@gmail.com")</f>
        <v>henriquecamargo@gmail.com</v>
      </c>
      <c r="F22" s="10" t="str">
        <f t="shared" ca="1" si="0"/>
        <v>Av. Juliana Araujo</v>
      </c>
      <c r="G22" s="10">
        <f t="shared" ca="1" si="1"/>
        <v>531</v>
      </c>
      <c r="H22" s="10" t="s">
        <v>159</v>
      </c>
      <c r="I22" s="10" t="s">
        <v>160</v>
      </c>
      <c r="K22" s="10" t="str">
        <f t="shared" si="2"/>
        <v>-</v>
      </c>
      <c r="L22" s="10" t="str">
        <f t="shared" si="3"/>
        <v>-</v>
      </c>
      <c r="N22" s="10" t="str">
        <f t="shared" si="4"/>
        <v>-</v>
      </c>
      <c r="S22" s="8" t="str">
        <f ca="1">CONCATENATE(
$S$4,
INDIRECT(CONCATENATE("B",Q21)),$S$5,
INDIRECT(CONCATENATE("C",Q21)),$S$5,
INDIRECT(CONCATENATE("D",Q21)),$S$5,
INDIRECT(CONCATENATE("E",Q21)),$S$5,
INDIRECT(CONCATENATE("F",Q21)),$S$5,
INDIRECT(CONCATENATE("G",Q21)),$S$5,
INDIRECT(CONCATENATE("H",Q21)),$S$5,
INDIRECT(CONCATENATE("I",Q21)),$S$7)</f>
        <v>INSERT INTO public.fornecedores(nome, cnpj, telefone, email, rua, numero, cidade, estado) VALUES ('Jose Pinheiro de Melo', '38116482000112', '1960148472', 'josepinheirodemelo@gmail.com', 'Av. Roberta da Silva Santos', '1164', 'Nova Iguaçu', 'RJ');</v>
      </c>
    </row>
    <row r="23" spans="1:21" x14ac:dyDescent="0.25">
      <c r="A23" s="7">
        <v>12</v>
      </c>
      <c r="B23" s="4" t="s">
        <v>16</v>
      </c>
      <c r="C23" s="19">
        <v>30237341000146</v>
      </c>
      <c r="D23" s="9">
        <v>5726231974</v>
      </c>
      <c r="E23" s="9" t="str">
        <f>CONCATENATE(LOWER(SUBSTITUTE(Fornecedores!B23," ","")),"@gmail.com")</f>
        <v>augustodemelo@gmail.com</v>
      </c>
      <c r="F23" s="9" t="str">
        <f t="shared" ca="1" si="0"/>
        <v>Pç. Lucas Nunes</v>
      </c>
      <c r="G23" s="9">
        <f t="shared" ca="1" si="1"/>
        <v>704</v>
      </c>
      <c r="H23" s="9" t="s">
        <v>161</v>
      </c>
      <c r="I23" s="9" t="s">
        <v>162</v>
      </c>
      <c r="K23" s="9" t="str">
        <f t="shared" si="2"/>
        <v>-</v>
      </c>
      <c r="L23" s="9" t="str">
        <f t="shared" si="3"/>
        <v>-</v>
      </c>
      <c r="N23" s="9" t="str">
        <f t="shared" si="4"/>
        <v>-</v>
      </c>
      <c r="S23" s="8"/>
    </row>
    <row r="24" spans="1:21" x14ac:dyDescent="0.25">
      <c r="A24" s="7">
        <v>13</v>
      </c>
      <c r="B24" s="3" t="s">
        <v>17</v>
      </c>
      <c r="C24" s="18">
        <v>69769485000189</v>
      </c>
      <c r="D24" s="10">
        <v>8534561825</v>
      </c>
      <c r="E24" s="10" t="str">
        <f>CONCATENATE(LOWER(SUBSTITUTE(Fornecedores!B24," ","")),"@gmail.com")</f>
        <v>antôniorabelo@gmail.com</v>
      </c>
      <c r="F24" s="10" t="str">
        <f t="shared" ca="1" si="0"/>
        <v>R. Prof. Fernando Pereira</v>
      </c>
      <c r="G24" s="10">
        <f t="shared" ca="1" si="1"/>
        <v>1446</v>
      </c>
      <c r="H24" s="10" t="s">
        <v>163</v>
      </c>
      <c r="I24" s="10" t="s">
        <v>164</v>
      </c>
      <c r="K24" s="10" t="str">
        <f t="shared" si="2"/>
        <v>-</v>
      </c>
      <c r="L24" s="10" t="str">
        <f t="shared" si="3"/>
        <v>-</v>
      </c>
      <c r="N24" s="10" t="str">
        <f t="shared" si="4"/>
        <v>-</v>
      </c>
      <c r="Q24" s="15">
        <f>Q21+1</f>
        <v>16</v>
      </c>
      <c r="R24" s="15">
        <f>R21+1</f>
        <v>5</v>
      </c>
      <c r="S24" s="8" t="str">
        <f>CONCATENATE($S$2,R24)</f>
        <v>-- 5</v>
      </c>
    </row>
    <row r="25" spans="1:21" x14ac:dyDescent="0.25">
      <c r="A25" s="7">
        <v>14</v>
      </c>
      <c r="B25" s="4" t="s">
        <v>165</v>
      </c>
      <c r="C25" s="19">
        <v>83146514000187</v>
      </c>
      <c r="D25" s="9">
        <v>7025966914</v>
      </c>
      <c r="E25" s="9" t="str">
        <f>CONCATENATE(LOWER(SUBSTITUTE(Fornecedores!B25," ","")),"@gmail.com")</f>
        <v>augustodaalbuquerque@gmail.com</v>
      </c>
      <c r="F25" s="9" t="str">
        <f t="shared" ca="1" si="0"/>
        <v>Pç. Wellington Henrique</v>
      </c>
      <c r="G25" s="9">
        <f t="shared" ca="1" si="1"/>
        <v>441</v>
      </c>
      <c r="H25" s="9" t="s">
        <v>166</v>
      </c>
      <c r="I25" s="9" t="s">
        <v>167</v>
      </c>
      <c r="K25" s="9" t="str">
        <f t="shared" si="2"/>
        <v>-</v>
      </c>
      <c r="L25" s="9" t="str">
        <f t="shared" si="3"/>
        <v>-</v>
      </c>
      <c r="N25" s="9" t="str">
        <f t="shared" si="4"/>
        <v>-</v>
      </c>
      <c r="S25" s="8" t="str">
        <f ca="1">CONCATENATE(
$S$4,
INDIRECT(CONCATENATE("B",Q24)),$S$5,
INDIRECT(CONCATENATE("C",Q24)),$S$5,
INDIRECT(CONCATENATE("D",Q24)),$S$5,
INDIRECT(CONCATENATE("E",Q24)),$S$5,
INDIRECT(CONCATENATE("F",Q24)),$S$5,
INDIRECT(CONCATENATE("G",Q24)),$S$5,
INDIRECT(CONCATENATE("H",Q24)),$S$5,
INDIRECT(CONCATENATE("I",Q24)),$S$7)</f>
        <v>INSERT INTO public.fornecedores(nome, cnpj, telefone, email, rua, numero, cidade, estado) VALUES ('Vicente do Amaral Neto', '74366083000173', '1907835027', 'vicentedoamaralneto@gmail.com', 'Av. Marcos da Silva Santos', '1182', 'Blumenau', 'SC');</v>
      </c>
    </row>
    <row r="26" spans="1:21" x14ac:dyDescent="0.25">
      <c r="A26" s="7">
        <v>15</v>
      </c>
      <c r="B26" s="3" t="s">
        <v>19</v>
      </c>
      <c r="C26" s="18">
        <v>25880771000141</v>
      </c>
      <c r="D26" s="10">
        <v>1261340903</v>
      </c>
      <c r="E26" s="10" t="str">
        <f>CONCATENATE(LOWER(SUBSTITUTE(Fornecedores!B26," ","")),"@gmail.com")</f>
        <v>nicolasvieira@gmail.com</v>
      </c>
      <c r="F26" s="10" t="str">
        <f t="shared" ca="1" si="0"/>
        <v>R. Rodrigo da Albuquerque</v>
      </c>
      <c r="G26" s="10">
        <f t="shared" ca="1" si="1"/>
        <v>413</v>
      </c>
      <c r="H26" s="10" t="s">
        <v>168</v>
      </c>
      <c r="I26" s="10" t="s">
        <v>136</v>
      </c>
      <c r="K26" s="10" t="str">
        <f t="shared" si="2"/>
        <v>-</v>
      </c>
      <c r="L26" s="10" t="str">
        <f t="shared" si="3"/>
        <v>-</v>
      </c>
      <c r="N26" s="10" t="str">
        <f t="shared" si="4"/>
        <v>-</v>
      </c>
      <c r="S26" s="8"/>
    </row>
    <row r="27" spans="1:21" x14ac:dyDescent="0.25">
      <c r="A27" s="7">
        <v>16</v>
      </c>
      <c r="B27" s="4" t="s">
        <v>20</v>
      </c>
      <c r="C27" s="19">
        <v>94217360000193</v>
      </c>
      <c r="D27" s="9">
        <v>6063523786</v>
      </c>
      <c r="E27" s="9" t="str">
        <f>CONCATENATE(LOWER(SUBSTITUTE(Fornecedores!B27," ","")),"@gmail.com")</f>
        <v>mauroandrade@gmail.com</v>
      </c>
      <c r="F27" s="9" t="str">
        <f t="shared" ca="1" si="0"/>
        <v>R. Prof. Augusto de Melo</v>
      </c>
      <c r="G27" s="9">
        <f t="shared" ca="1" si="1"/>
        <v>1052</v>
      </c>
      <c r="H27" s="9" t="s">
        <v>135</v>
      </c>
      <c r="I27" s="9" t="s">
        <v>136</v>
      </c>
      <c r="K27" s="9" t="str">
        <f t="shared" si="2"/>
        <v>-</v>
      </c>
      <c r="L27" s="9" t="str">
        <f t="shared" si="3"/>
        <v>-</v>
      </c>
      <c r="N27" s="9" t="str">
        <f t="shared" si="4"/>
        <v>-</v>
      </c>
      <c r="Q27" s="15">
        <f>Q24+1</f>
        <v>17</v>
      </c>
      <c r="R27" s="15">
        <f>R24+1</f>
        <v>6</v>
      </c>
      <c r="S27" s="8" t="str">
        <f>CONCATENATE($S$2,R27)</f>
        <v>-- 6</v>
      </c>
    </row>
    <row r="28" spans="1:21" x14ac:dyDescent="0.25">
      <c r="A28" s="7">
        <v>17</v>
      </c>
      <c r="B28" s="3" t="s">
        <v>21</v>
      </c>
      <c r="C28" s="18">
        <v>20496076000167</v>
      </c>
      <c r="D28" s="10">
        <v>4265698951</v>
      </c>
      <c r="E28" s="10" t="str">
        <f>CONCATENATE(LOWER(SUBSTITUTE(Fornecedores!B28," ","")),"@gmail.com")</f>
        <v>robertosouza@gmail.com</v>
      </c>
      <c r="F28" s="10" t="str">
        <f t="shared" ca="1" si="0"/>
        <v>Pç. Anderson Andrade Junqueira</v>
      </c>
      <c r="G28" s="10">
        <f t="shared" ca="1" si="1"/>
        <v>591</v>
      </c>
      <c r="H28" s="10" t="s">
        <v>169</v>
      </c>
      <c r="I28" s="10" t="s">
        <v>141</v>
      </c>
      <c r="K28" s="10" t="s">
        <v>170</v>
      </c>
      <c r="L28" s="10" t="str">
        <f t="shared" si="3"/>
        <v>-</v>
      </c>
      <c r="N28" s="10" t="str">
        <f t="shared" si="4"/>
        <v>-</v>
      </c>
      <c r="S28" s="8" t="str">
        <f ca="1">CONCATENATE(
$S$4,
INDIRECT(CONCATENATE("B",Q27)),$S$5,
INDIRECT(CONCATENATE("C",Q27)),$S$5,
INDIRECT(CONCATENATE("D",Q27)),$S$5,
INDIRECT(CONCATENATE("E",Q27)),$S$5,
INDIRECT(CONCATENATE("F",Q27)),$S$5,
INDIRECT(CONCATENATE("G",Q27)),$S$5,
INDIRECT(CONCATENATE("H",Q27)),$S$5,
INDIRECT(CONCATENATE("I",Q27)),$S$7)</f>
        <v>INSERT INTO public.fornecedores(nome, cnpj, telefone, email, rua, numero, cidade, estado) VALUES ('Marisa Pereira', '48893572000173', '2383272903', 'marisapereira@gmail.com', 'R. Miguel Duarte', '255', 'Porto Alegre', 'PR');</v>
      </c>
    </row>
    <row r="29" spans="1:21" x14ac:dyDescent="0.25">
      <c r="A29" s="7">
        <v>18</v>
      </c>
      <c r="B29" s="4" t="s">
        <v>22</v>
      </c>
      <c r="C29" s="19">
        <v>93236650001007</v>
      </c>
      <c r="D29" s="9">
        <v>5095424178</v>
      </c>
      <c r="E29" s="9" t="str">
        <f>CONCATENATE(LOWER(SUBSTITUTE(Fornecedores!B29," ","")),"@gmail.com")</f>
        <v>priscilacamargodemelo@gmail.com</v>
      </c>
      <c r="F29" s="9" t="str">
        <f t="shared" ca="1" si="0"/>
        <v>Pç. Guilherme Cardoso</v>
      </c>
      <c r="G29" s="9">
        <f t="shared" ca="1" si="1"/>
        <v>1174</v>
      </c>
      <c r="H29" s="9" t="s">
        <v>171</v>
      </c>
      <c r="I29" s="9" t="s">
        <v>141</v>
      </c>
      <c r="K29" s="9" t="str">
        <f t="shared" ref="K29:K61" si="5">IF(COUNTIF($C$12:$C$61,C29)&gt;1,COUNTIF($C$12:$C$61,C29),"-")</f>
        <v>-</v>
      </c>
      <c r="L29" s="9" t="str">
        <f t="shared" si="3"/>
        <v>-</v>
      </c>
      <c r="N29" s="9" t="str">
        <f t="shared" si="4"/>
        <v>-</v>
      </c>
      <c r="S29" s="8"/>
    </row>
    <row r="30" spans="1:21" x14ac:dyDescent="0.25">
      <c r="A30" s="7">
        <v>19</v>
      </c>
      <c r="B30" s="3" t="s">
        <v>23</v>
      </c>
      <c r="C30" s="18">
        <v>30062326000104</v>
      </c>
      <c r="D30" s="10">
        <v>2488207874</v>
      </c>
      <c r="E30" s="10" t="str">
        <f>CONCATENATE(LOWER(SUBSTITUTE(Fornecedores!B30," ","")),"@gmail.com")</f>
        <v>joaquimteixeira@gmail.com</v>
      </c>
      <c r="F30" s="10" t="str">
        <f t="shared" ca="1" si="0"/>
        <v>R. Rogerio Saraiva</v>
      </c>
      <c r="G30" s="10">
        <f t="shared" ca="1" si="1"/>
        <v>1127</v>
      </c>
      <c r="H30" s="10" t="s">
        <v>172</v>
      </c>
      <c r="I30" s="10" t="s">
        <v>145</v>
      </c>
      <c r="K30" s="10" t="str">
        <f t="shared" si="5"/>
        <v>-</v>
      </c>
      <c r="L30" s="10" t="str">
        <f t="shared" si="3"/>
        <v>-</v>
      </c>
      <c r="N30" s="10" t="str">
        <f t="shared" si="4"/>
        <v>-</v>
      </c>
      <c r="Q30" s="15">
        <f>Q27+1</f>
        <v>18</v>
      </c>
      <c r="R30" s="15">
        <f>R27+1</f>
        <v>7</v>
      </c>
      <c r="S30" s="8" t="str">
        <f>CONCATENATE($S$2,R30)</f>
        <v>-- 7</v>
      </c>
    </row>
    <row r="31" spans="1:21" x14ac:dyDescent="0.25">
      <c r="A31" s="7">
        <v>20</v>
      </c>
      <c r="B31" s="4" t="s">
        <v>24</v>
      </c>
      <c r="C31" s="19">
        <v>12673801000105</v>
      </c>
      <c r="D31" s="9">
        <v>3473253807</v>
      </c>
      <c r="E31" s="9" t="str">
        <f>CONCATENATE(LOWER(SUBSTITUTE(Fornecedores!B31," ","")),"@gmail.com")</f>
        <v>rogeriosaraiva@gmail.com</v>
      </c>
      <c r="F31" s="9" t="str">
        <f t="shared" ca="1" si="0"/>
        <v>Pç. Carlos Antunes</v>
      </c>
      <c r="G31" s="9">
        <f t="shared" ca="1" si="1"/>
        <v>1437</v>
      </c>
      <c r="H31" s="9" t="s">
        <v>173</v>
      </c>
      <c r="I31" s="9" t="s">
        <v>147</v>
      </c>
      <c r="K31" s="9" t="str">
        <f t="shared" si="5"/>
        <v>-</v>
      </c>
      <c r="L31" s="9" t="str">
        <f t="shared" si="3"/>
        <v>-</v>
      </c>
      <c r="N31" s="9" t="str">
        <f t="shared" si="4"/>
        <v>-</v>
      </c>
      <c r="S31" s="8" t="str">
        <f ca="1">CONCATENATE(
$S$4,
INDIRECT(CONCATENATE("B",Q30)),$S$5,
INDIRECT(CONCATENATE("C",Q30)),$S$5,
INDIRECT(CONCATENATE("D",Q30)),$S$5,
INDIRECT(CONCATENATE("E",Q30)),$S$5,
INDIRECT(CONCATENATE("F",Q30)),$S$5,
INDIRECT(CONCATENATE("G",Q30)),$S$5,
INDIRECT(CONCATENATE("H",Q30)),$S$5,
INDIRECT(CONCATENATE("I",Q30)),$S$7)</f>
        <v>INSERT INTO public.fornecedores(nome, cnpj, telefone, email, rua, numero, cidade, estado) VALUES ('Anderson Andrade Junqueira', '68090338000115', '5124543524', 'andersonandradejunqueira@gmail.com', 'R. Prof. Marisa Pereira', '872', 'Bom Jardim', 'PE');</v>
      </c>
    </row>
    <row r="32" spans="1:21" x14ac:dyDescent="0.25">
      <c r="A32" s="7">
        <v>21</v>
      </c>
      <c r="B32" s="3" t="s">
        <v>25</v>
      </c>
      <c r="C32" s="18">
        <v>48584810000169</v>
      </c>
      <c r="D32" s="10">
        <v>5835759645</v>
      </c>
      <c r="E32" s="10" t="str">
        <f>CONCATENATE(LOWER(SUBSTITUTE(Fornecedores!B32," ","")),"@gmail.com")</f>
        <v>miguelduarte@gmail.com</v>
      </c>
      <c r="F32" s="10" t="str">
        <f t="shared" ca="1" si="0"/>
        <v>R. Prof. Rodrigo Souza</v>
      </c>
      <c r="G32" s="10">
        <f t="shared" ca="1" si="1"/>
        <v>1120</v>
      </c>
      <c r="H32" s="10" t="s">
        <v>174</v>
      </c>
      <c r="I32" s="10" t="s">
        <v>149</v>
      </c>
      <c r="K32" s="10" t="str">
        <f t="shared" si="5"/>
        <v>-</v>
      </c>
      <c r="L32" s="10" t="str">
        <f t="shared" si="3"/>
        <v>-</v>
      </c>
      <c r="N32" s="10" t="str">
        <f t="shared" si="4"/>
        <v>-</v>
      </c>
      <c r="S32" s="8"/>
    </row>
    <row r="33" spans="1:19" x14ac:dyDescent="0.25">
      <c r="A33" s="7">
        <v>22</v>
      </c>
      <c r="B33" s="4" t="s">
        <v>175</v>
      </c>
      <c r="C33" s="19">
        <v>74382698000193</v>
      </c>
      <c r="D33" s="9">
        <v>8472358797</v>
      </c>
      <c r="E33" s="9" t="str">
        <f>CONCATENATE(LOWER(SUBSTITUTE(Fornecedores!B33," ","")),"@gmail.com")</f>
        <v>thaispereira@gmail.com</v>
      </c>
      <c r="F33" s="9" t="str">
        <f t="shared" ca="1" si="0"/>
        <v>R. Prof. Eduardo Ferreira</v>
      </c>
      <c r="G33" s="9">
        <f t="shared" ca="1" si="1"/>
        <v>1348</v>
      </c>
      <c r="H33" s="9" t="s">
        <v>176</v>
      </c>
      <c r="I33" s="9" t="s">
        <v>151</v>
      </c>
      <c r="K33" s="9" t="str">
        <f t="shared" si="5"/>
        <v>-</v>
      </c>
      <c r="L33" s="9" t="str">
        <f t="shared" si="3"/>
        <v>-</v>
      </c>
      <c r="N33" s="9" t="str">
        <f t="shared" si="4"/>
        <v>-</v>
      </c>
      <c r="Q33" s="15">
        <f>Q30+1</f>
        <v>19</v>
      </c>
      <c r="R33" s="15">
        <f>R30+1</f>
        <v>8</v>
      </c>
      <c r="S33" s="8" t="str">
        <f>CONCATENATE($S$2,R33)</f>
        <v>-- 8</v>
      </c>
    </row>
    <row r="34" spans="1:19" x14ac:dyDescent="0.25">
      <c r="A34" s="7">
        <v>23</v>
      </c>
      <c r="B34" s="3" t="s">
        <v>27</v>
      </c>
      <c r="C34" s="18">
        <v>26039089000193</v>
      </c>
      <c r="D34" s="10">
        <v>2396784843</v>
      </c>
      <c r="E34" s="10" t="str">
        <f>CONCATENATE(LOWER(SUBSTITUTE(Fornecedores!B34," ","")),"@gmail.com")</f>
        <v>luanademelo@gmail.com</v>
      </c>
      <c r="F34" s="10" t="str">
        <f t="shared" ca="1" si="0"/>
        <v>R. Nicolas Vieira</v>
      </c>
      <c r="G34" s="10">
        <f t="shared" ca="1" si="1"/>
        <v>355</v>
      </c>
      <c r="H34" s="10" t="s">
        <v>177</v>
      </c>
      <c r="I34" s="10" t="s">
        <v>154</v>
      </c>
      <c r="K34" s="10" t="str">
        <f t="shared" si="5"/>
        <v>-</v>
      </c>
      <c r="L34" s="10" t="str">
        <f t="shared" si="3"/>
        <v>-</v>
      </c>
      <c r="N34" s="10" t="str">
        <f t="shared" si="4"/>
        <v>-</v>
      </c>
      <c r="S34" s="8" t="str">
        <f ca="1">CONCATENATE(
$S$4,
INDIRECT(CONCATENATE("B",Q33)),$S$5,
INDIRECT(CONCATENATE("C",Q33)),$S$5,
INDIRECT(CONCATENATE("D",Q33)),$S$5,
INDIRECT(CONCATENATE("E",Q33)),$S$5,
INDIRECT(CONCATENATE("F",Q33)),$S$5,
INDIRECT(CONCATENATE("G",Q33)),$S$5,
INDIRECT(CONCATENATE("H",Q33)),$S$5,
INDIRECT(CONCATENATE("I",Q33)),$S$7)</f>
        <v>INSERT INTO public.fornecedores(nome, cnpj, telefone, email, rua, numero, cidade, estado) VALUES ('Daniela da Costa Rodrigues', '75984940000161', '4508723961', 'danieladacostarodrigues@gmail.com', 'R. Prof. Carlos Eduardo Menezes', '1261', 'Tabatinga', 'AM');</v>
      </c>
    </row>
    <row r="35" spans="1:19" x14ac:dyDescent="0.25">
      <c r="A35" s="7">
        <v>24</v>
      </c>
      <c r="B35" s="4" t="s">
        <v>178</v>
      </c>
      <c r="C35" s="19">
        <v>95683740001828</v>
      </c>
      <c r="D35" s="9">
        <v>7843079928</v>
      </c>
      <c r="E35" s="9" t="str">
        <f>CONCATENATE(LOWER(SUBSTITUTE(Fornecedores!B35," ","")),"@gmail.com")</f>
        <v>rodrigodaalbuquerque@gmail.com</v>
      </c>
      <c r="F35" s="9" t="str">
        <f t="shared" ca="1" si="0"/>
        <v>R. Prof. Giovana Pereira</v>
      </c>
      <c r="G35" s="9">
        <f t="shared" ca="1" si="1"/>
        <v>490</v>
      </c>
      <c r="H35" s="9" t="s">
        <v>179</v>
      </c>
      <c r="I35" s="9" t="s">
        <v>157</v>
      </c>
      <c r="K35" s="9" t="str">
        <f t="shared" si="5"/>
        <v>-</v>
      </c>
      <c r="L35" s="9" t="str">
        <f t="shared" si="3"/>
        <v>-</v>
      </c>
      <c r="N35" s="9" t="str">
        <f t="shared" si="4"/>
        <v>-</v>
      </c>
      <c r="S35" s="8"/>
    </row>
    <row r="36" spans="1:19" x14ac:dyDescent="0.25">
      <c r="A36" s="7">
        <v>25</v>
      </c>
      <c r="B36" s="3" t="s">
        <v>29</v>
      </c>
      <c r="C36" s="18">
        <v>45576014000196</v>
      </c>
      <c r="D36" s="10">
        <v>1242015992</v>
      </c>
      <c r="E36" s="10" t="str">
        <f>CONCATENATE(LOWER(SUBSTITUTE(Fornecedores!B36," ","")),"@gmail.com")</f>
        <v>manoelcalixto@gmail.com</v>
      </c>
      <c r="F36" s="10" t="str">
        <f t="shared" ca="1" si="0"/>
        <v>R. Ruan Gomes</v>
      </c>
      <c r="G36" s="10">
        <f t="shared" ca="1" si="1"/>
        <v>1189</v>
      </c>
      <c r="H36" s="10" t="s">
        <v>180</v>
      </c>
      <c r="I36" s="10" t="s">
        <v>160</v>
      </c>
      <c r="K36" s="10" t="str">
        <f t="shared" si="5"/>
        <v>-</v>
      </c>
      <c r="L36" s="10" t="str">
        <f t="shared" si="3"/>
        <v>-</v>
      </c>
      <c r="N36" s="10" t="str">
        <f t="shared" si="4"/>
        <v>-</v>
      </c>
      <c r="Q36" s="15">
        <f>Q33+1</f>
        <v>20</v>
      </c>
      <c r="R36" s="15">
        <f>R33+1</f>
        <v>9</v>
      </c>
      <c r="S36" s="8" t="str">
        <f>CONCATENATE($S$2,R36)</f>
        <v>-- 9</v>
      </c>
    </row>
    <row r="37" spans="1:19" x14ac:dyDescent="0.25">
      <c r="A37" s="7">
        <v>26</v>
      </c>
      <c r="B37" s="4" t="s">
        <v>30</v>
      </c>
      <c r="C37" s="19">
        <v>10263771000125</v>
      </c>
      <c r="D37" s="9">
        <v>8662208736</v>
      </c>
      <c r="E37" s="9" t="str">
        <f>CONCATENATE(LOWER(SUBSTITUTE(Fornecedores!B37," ","")),"@gmail.com")</f>
        <v>ruangomes@gmail.com</v>
      </c>
      <c r="F37" s="9" t="str">
        <f t="shared" ca="1" si="0"/>
        <v>Av. Mauro Andrade</v>
      </c>
      <c r="G37" s="9">
        <f t="shared" ca="1" si="1"/>
        <v>249</v>
      </c>
      <c r="H37" s="9" t="s">
        <v>181</v>
      </c>
      <c r="I37" s="9" t="s">
        <v>182</v>
      </c>
      <c r="K37" s="9" t="str">
        <f t="shared" si="5"/>
        <v>-</v>
      </c>
      <c r="L37" s="9" t="str">
        <f t="shared" si="3"/>
        <v>-</v>
      </c>
      <c r="N37" s="9" t="str">
        <f t="shared" si="4"/>
        <v>-</v>
      </c>
      <c r="S37" s="8" t="str">
        <f ca="1">CONCATENATE(
$S$4,
INDIRECT(CONCATENATE("B",Q36)),$S$5,
INDIRECT(CONCATENATE("C",Q36)),$S$5,
INDIRECT(CONCATENATE("D",Q36)),$S$5,
INDIRECT(CONCATENATE("E",Q36)),$S$5,
INDIRECT(CONCATENATE("F",Q36)),$S$5,
INDIRECT(CONCATENATE("G",Q36)),$S$5,
INDIRECT(CONCATENATE("H",Q36)),$S$5,
INDIRECT(CONCATENATE("I",Q36)),$S$7)</f>
        <v>INSERT INTO public.fornecedores(nome, cnpj, telefone, email, rua, numero, cidade, estado) VALUES ('Antônio da Albuquerque Junior', '67359020001524', '9332453969', 'antôniodaalbuquerquejunior@gmail.com', 'R. Patricia Correia da Albuquerque', '485', 'Brasileia', 'AC');</v>
      </c>
    </row>
    <row r="38" spans="1:19" x14ac:dyDescent="0.25">
      <c r="A38" s="7">
        <v>27</v>
      </c>
      <c r="B38" s="3" t="s">
        <v>31</v>
      </c>
      <c r="C38" s="18">
        <v>75442723000140</v>
      </c>
      <c r="D38" s="10">
        <v>5735957340</v>
      </c>
      <c r="E38" s="10" t="str">
        <f>CONCATENATE(LOWER(SUBSTITUTE(Fornecedores!B38," ","")),"@gmail.com")</f>
        <v>eduardoferreira@gmail.com</v>
      </c>
      <c r="F38" s="10" t="str">
        <f t="shared" ca="1" si="0"/>
        <v>Av. Rodrigo Souza</v>
      </c>
      <c r="G38" s="10">
        <f t="shared" ca="1" si="1"/>
        <v>176</v>
      </c>
      <c r="H38" s="10" t="s">
        <v>183</v>
      </c>
      <c r="I38" s="10" t="s">
        <v>164</v>
      </c>
      <c r="K38" s="10" t="str">
        <f t="shared" si="5"/>
        <v>-</v>
      </c>
      <c r="L38" s="10" t="str">
        <f t="shared" si="3"/>
        <v>-</v>
      </c>
      <c r="N38" s="10" t="str">
        <f t="shared" si="4"/>
        <v>-</v>
      </c>
      <c r="S38" s="8"/>
    </row>
    <row r="39" spans="1:19" x14ac:dyDescent="0.25">
      <c r="A39" s="7">
        <v>28</v>
      </c>
      <c r="B39" s="4" t="s">
        <v>32</v>
      </c>
      <c r="C39" s="19">
        <v>64887080000121</v>
      </c>
      <c r="D39" s="9">
        <v>4554714486</v>
      </c>
      <c r="E39" s="9" t="str">
        <f>CONCATENATE(LOWER(SUBSTITUTE(Fornecedores!B39," ","")),"@gmail.com")</f>
        <v>albertocovas@gmail.com</v>
      </c>
      <c r="F39" s="9" t="str">
        <f t="shared" ca="1" si="0"/>
        <v>R. Prof. Manoel Miranda</v>
      </c>
      <c r="G39" s="9">
        <f t="shared" ca="1" si="1"/>
        <v>337</v>
      </c>
      <c r="H39" s="9" t="s">
        <v>184</v>
      </c>
      <c r="I39" s="9" t="s">
        <v>167</v>
      </c>
      <c r="K39" s="9" t="str">
        <f t="shared" si="5"/>
        <v>-</v>
      </c>
      <c r="L39" s="9" t="str">
        <f t="shared" si="3"/>
        <v>-</v>
      </c>
      <c r="N39" s="9" t="str">
        <f t="shared" si="4"/>
        <v>-</v>
      </c>
      <c r="Q39" s="15">
        <f>Q36+1</f>
        <v>21</v>
      </c>
      <c r="R39" s="15">
        <f>R36+1</f>
        <v>10</v>
      </c>
      <c r="S39" s="8" t="str">
        <f>CONCATENATE($S$2,R39)</f>
        <v>-- 10</v>
      </c>
    </row>
    <row r="40" spans="1:19" x14ac:dyDescent="0.25">
      <c r="A40" s="7">
        <v>29</v>
      </c>
      <c r="B40" s="3" t="s">
        <v>33</v>
      </c>
      <c r="C40" s="18">
        <v>23526943000158</v>
      </c>
      <c r="D40" s="10">
        <v>6208624464</v>
      </c>
      <c r="E40" s="10" t="str">
        <f>CONCATENATE(LOWER(SUBSTITUTE(Fornecedores!B40," ","")),"@gmail.com")</f>
        <v>brunomoura@gmail.com</v>
      </c>
      <c r="F40" s="10" t="str">
        <f t="shared" ca="1" si="0"/>
        <v>R. Roberta da Silva Santos</v>
      </c>
      <c r="G40" s="10">
        <f t="shared" ca="1" si="1"/>
        <v>599</v>
      </c>
      <c r="H40" s="10" t="s">
        <v>135</v>
      </c>
      <c r="I40" s="10" t="s">
        <v>136</v>
      </c>
      <c r="K40" s="10" t="str">
        <f t="shared" si="5"/>
        <v>-</v>
      </c>
      <c r="L40" s="10" t="str">
        <f t="shared" si="3"/>
        <v>-</v>
      </c>
      <c r="N40" s="10" t="str">
        <f t="shared" si="4"/>
        <v>-</v>
      </c>
      <c r="S40" s="8" t="str">
        <f ca="1">CONCATENATE(
$S$4,
INDIRECT(CONCATENATE("B",Q39)),$S$5,
INDIRECT(CONCATENATE("C",Q39)),$S$5,
INDIRECT(CONCATENATE("D",Q39)),$S$5,
INDIRECT(CONCATENATE("E",Q39)),$S$5,
INDIRECT(CONCATENATE("F",Q39)),$S$5,
INDIRECT(CONCATENATE("G",Q39)),$S$5,
INDIRECT(CONCATENATE("H",Q39)),$S$5,
INDIRECT(CONCATENATE("I",Q39)),$S$7)</f>
        <v>INSERT INTO public.fornecedores(nome, cnpj, telefone, email, rua, numero, cidade, estado) VALUES ('Carlos Correia da Albuquerque', '35667096000120', '4409845947', 'carloscorreiadaalbuquerque@gmail.com', 'R. Carlos Eduardo Menezes', '326', 'Bom Jesus', 'RN');</v>
      </c>
    </row>
    <row r="41" spans="1:19" x14ac:dyDescent="0.25">
      <c r="A41" s="7">
        <v>30</v>
      </c>
      <c r="B41" s="4" t="s">
        <v>34</v>
      </c>
      <c r="C41" s="19">
        <v>36576427000180</v>
      </c>
      <c r="D41" s="9">
        <v>9627674238</v>
      </c>
      <c r="E41" s="9" t="str">
        <f>CONCATENATE(LOWER(SUBSTITUTE(Fornecedores!B41," ","")),"@gmail.com")</f>
        <v>fernandopereira@gmail.com</v>
      </c>
      <c r="F41" s="9" t="str">
        <f t="shared" ca="1" si="0"/>
        <v>R. Prof. Jose Pinheiro de Melo</v>
      </c>
      <c r="G41" s="9">
        <f t="shared" ca="1" si="1"/>
        <v>500</v>
      </c>
      <c r="H41" s="9" t="s">
        <v>138</v>
      </c>
      <c r="I41" s="9" t="s">
        <v>136</v>
      </c>
      <c r="K41" s="9" t="str">
        <f t="shared" si="5"/>
        <v>-</v>
      </c>
      <c r="L41" s="9" t="str">
        <f t="shared" si="3"/>
        <v>-</v>
      </c>
      <c r="N41" s="9" t="str">
        <f t="shared" si="4"/>
        <v>-</v>
      </c>
      <c r="S41" s="8"/>
    </row>
    <row r="42" spans="1:19" x14ac:dyDescent="0.25">
      <c r="A42" s="7">
        <v>31</v>
      </c>
      <c r="B42" s="3" t="s">
        <v>35</v>
      </c>
      <c r="C42" s="18">
        <v>86641148000120</v>
      </c>
      <c r="D42" s="10">
        <v>2890962847</v>
      </c>
      <c r="E42" s="10" t="str">
        <f>CONCATENATE(LOWER(SUBSTITUTE(Fornecedores!B42," ","")),"@gmail.com")</f>
        <v>israelmendes@gmail.com</v>
      </c>
      <c r="F42" s="10" t="str">
        <f t="shared" ca="1" si="0"/>
        <v>Pç. Thais Pereira</v>
      </c>
      <c r="G42" s="10">
        <f t="shared" ca="1" si="1"/>
        <v>1236</v>
      </c>
      <c r="H42" s="10" t="s">
        <v>140</v>
      </c>
      <c r="I42" s="10" t="s">
        <v>141</v>
      </c>
      <c r="K42" s="10" t="str">
        <f t="shared" si="5"/>
        <v>-</v>
      </c>
      <c r="L42" s="10" t="str">
        <f t="shared" si="3"/>
        <v>-</v>
      </c>
      <c r="N42" s="10" t="str">
        <f t="shared" si="4"/>
        <v>-</v>
      </c>
      <c r="Q42" s="15">
        <f>Q39+1</f>
        <v>22</v>
      </c>
      <c r="R42" s="15">
        <f>R39+1</f>
        <v>11</v>
      </c>
      <c r="S42" s="8" t="str">
        <f>CONCATENATE($S$2,R42)</f>
        <v>-- 11</v>
      </c>
    </row>
    <row r="43" spans="1:19" x14ac:dyDescent="0.25">
      <c r="A43" s="7">
        <v>32</v>
      </c>
      <c r="B43" s="4" t="s">
        <v>36</v>
      </c>
      <c r="C43" s="19">
        <v>84344946000165</v>
      </c>
      <c r="D43" s="9">
        <v>1595529156</v>
      </c>
      <c r="E43" s="9" t="str">
        <f>CONCATENATE(LOWER(SUBSTITUTE(Fornecedores!B43," ","")),"@gmail.com")</f>
        <v>julianaaraujo@gmail.com</v>
      </c>
      <c r="F43" s="9" t="str">
        <f t="shared" ca="1" si="0"/>
        <v>R. Maria Arruda</v>
      </c>
      <c r="G43" s="9">
        <f t="shared" ca="1" si="1"/>
        <v>869</v>
      </c>
      <c r="H43" s="9" t="s">
        <v>142</v>
      </c>
      <c r="I43" s="9" t="s">
        <v>141</v>
      </c>
      <c r="K43" s="9" t="str">
        <f t="shared" si="5"/>
        <v>-</v>
      </c>
      <c r="L43" s="9" t="str">
        <f t="shared" si="3"/>
        <v>-</v>
      </c>
      <c r="N43" s="9" t="str">
        <f t="shared" si="4"/>
        <v>-</v>
      </c>
      <c r="S43" s="8" t="str">
        <f ca="1">CONCATENATE(
$S$4,
INDIRECT(CONCATENATE("B",Q42)),$S$5,
INDIRECT(CONCATENATE("C",Q42)),$S$5,
INDIRECT(CONCATENATE("D",Q42)),$S$5,
INDIRECT(CONCATENATE("E",Q42)),$S$5,
INDIRECT(CONCATENATE("F",Q42)),$S$5,
INDIRECT(CONCATENATE("G",Q42)),$S$5,
INDIRECT(CONCATENATE("H",Q42)),$S$5,
INDIRECT(CONCATENATE("I",Q42)),$S$7)</f>
        <v>INSERT INTO public.fornecedores(nome, cnpj, telefone, email, rua, numero, cidade, estado) VALUES ('Henrique Camargo', '11356707000151', '3626873816', 'henriquecamargo@gmail.com', 'Av. Juliana Araujo', '531', 'Salgado', 'SE');</v>
      </c>
    </row>
    <row r="44" spans="1:19" x14ac:dyDescent="0.25">
      <c r="A44" s="7">
        <v>33</v>
      </c>
      <c r="B44" s="3" t="s">
        <v>185</v>
      </c>
      <c r="C44" s="18">
        <v>66141383000126</v>
      </c>
      <c r="D44" s="10">
        <v>4675386540</v>
      </c>
      <c r="E44" s="10" t="str">
        <f>CONCATENATE(LOWER(SUBSTITUTE(Fornecedores!B44," ","")),"@gmail.com")</f>
        <v>tadeufernandesdaalbuquerque@gmail.com</v>
      </c>
      <c r="F44" s="10" t="str">
        <f t="shared" ref="F44:F61" ca="1" si="6">CONCATENATE(
INDIRECT(  CONCATENATE("F", RANDBETWEEN(4,7))  ),
INDIRECT(  CONCATENATE("B", RANDBETWEEN(12,61)))
)</f>
        <v>Av. Fernando Pereira</v>
      </c>
      <c r="G44" s="10">
        <f t="shared" ref="G44:G61" ca="1" si="7">RANDBETWEEN(50,1500)</f>
        <v>935</v>
      </c>
      <c r="H44" s="10" t="s">
        <v>144</v>
      </c>
      <c r="I44" s="10" t="s">
        <v>145</v>
      </c>
      <c r="K44" s="10" t="str">
        <f t="shared" si="5"/>
        <v>-</v>
      </c>
      <c r="L44" s="10" t="str">
        <f t="shared" ref="L44:L61" si="8">IF(LEN(C44) = 14, "-", LEN(C44))</f>
        <v>-</v>
      </c>
      <c r="N44" s="10" t="str">
        <f t="shared" ref="N44:N61" si="9">IF(LEN(D44) = 10, "-", LEN(D44))</f>
        <v>-</v>
      </c>
      <c r="S44" s="8"/>
    </row>
    <row r="45" spans="1:19" x14ac:dyDescent="0.25">
      <c r="A45" s="7">
        <v>34</v>
      </c>
      <c r="B45" s="4" t="s">
        <v>186</v>
      </c>
      <c r="C45" s="19">
        <v>95568941000132</v>
      </c>
      <c r="D45" s="9">
        <v>5456387873</v>
      </c>
      <c r="E45" s="9" t="str">
        <f>CONCATENATE(LOWER(SUBSTITUTE(Fornecedores!B45," ","")),"@gmail.com")</f>
        <v>mariaarruda@gmail.com</v>
      </c>
      <c r="F45" s="9" t="str">
        <f t="shared" ca="1" si="6"/>
        <v>R. Prof. Patricia Correia da Albuquerque</v>
      </c>
      <c r="G45" s="9">
        <f t="shared" ca="1" si="7"/>
        <v>991</v>
      </c>
      <c r="H45" s="9" t="s">
        <v>146</v>
      </c>
      <c r="I45" s="9" t="s">
        <v>147</v>
      </c>
      <c r="K45" s="9" t="str">
        <f t="shared" si="5"/>
        <v>-</v>
      </c>
      <c r="L45" s="9" t="str">
        <f t="shared" si="8"/>
        <v>-</v>
      </c>
      <c r="N45" s="9" t="str">
        <f t="shared" si="9"/>
        <v>-</v>
      </c>
      <c r="Q45" s="15">
        <f>Q42+1</f>
        <v>23</v>
      </c>
      <c r="R45" s="15">
        <f>R42+1</f>
        <v>12</v>
      </c>
      <c r="S45" s="8" t="str">
        <f>CONCATENATE($S$2,R45)</f>
        <v>-- 12</v>
      </c>
    </row>
    <row r="46" spans="1:19" x14ac:dyDescent="0.25">
      <c r="A46" s="7">
        <v>35</v>
      </c>
      <c r="B46" s="3" t="s">
        <v>187</v>
      </c>
      <c r="C46" s="18">
        <v>66940134000109</v>
      </c>
      <c r="D46" s="10">
        <v>2574473937</v>
      </c>
      <c r="E46" s="10" t="str">
        <f>CONCATENATE(LOWER(SUBSTITUTE(Fornecedores!B46," ","")),"@gmail.com")</f>
        <v>giovanapereira@gmail.com</v>
      </c>
      <c r="F46" s="10" t="str">
        <f t="shared" ca="1" si="6"/>
        <v>Av. Rodrigo Souza</v>
      </c>
      <c r="G46" s="10">
        <f t="shared" ca="1" si="7"/>
        <v>669</v>
      </c>
      <c r="H46" s="10" t="s">
        <v>148</v>
      </c>
      <c r="I46" s="10" t="s">
        <v>149</v>
      </c>
      <c r="K46" s="10" t="str">
        <f t="shared" si="5"/>
        <v>-</v>
      </c>
      <c r="L46" s="10" t="str">
        <f t="shared" si="8"/>
        <v>-</v>
      </c>
      <c r="N46" s="10" t="str">
        <f t="shared" si="9"/>
        <v>-</v>
      </c>
      <c r="S46" s="8" t="str">
        <f ca="1">CONCATENATE(
$S$4,
INDIRECT(CONCATENATE("B",Q45)),$S$5,
INDIRECT(CONCATENATE("C",Q45)),$S$5,
INDIRECT(CONCATENATE("D",Q45)),$S$5,
INDIRECT(CONCATENATE("E",Q45)),$S$5,
INDIRECT(CONCATENATE("F",Q45)),$S$5,
INDIRECT(CONCATENATE("G",Q45)),$S$5,
INDIRECT(CONCATENATE("H",Q45)),$S$5,
INDIRECT(CONCATENATE("I",Q45)),$S$7)</f>
        <v>INSERT INTO public.fornecedores(nome, cnpj, telefone, email, rua, numero, cidade, estado) VALUES ('Augusto de Melo', '30237341000146', '5726231974', 'augustodemelo@gmail.com', 'Pç. Lucas Nunes', '704', 'Verendina', 'MG');</v>
      </c>
    </row>
    <row r="47" spans="1:19" x14ac:dyDescent="0.25">
      <c r="A47" s="7">
        <v>36</v>
      </c>
      <c r="B47" s="4" t="s">
        <v>188</v>
      </c>
      <c r="C47" s="19">
        <v>38153645000137</v>
      </c>
      <c r="D47" s="9">
        <v>4661136299</v>
      </c>
      <c r="E47" s="9" t="str">
        <f>CONCATENATE(LOWER(SUBSTITUTE(Fornecedores!B47," ","")),"@gmail.com")</f>
        <v>robertadasilvasantos@gmail.com</v>
      </c>
      <c r="F47" s="9" t="str">
        <f t="shared" ca="1" si="6"/>
        <v>Pç. Carlos Eduardo Menezes</v>
      </c>
      <c r="G47" s="9">
        <f t="shared" ca="1" si="7"/>
        <v>1295</v>
      </c>
      <c r="H47" s="9" t="s">
        <v>150</v>
      </c>
      <c r="I47" s="9" t="s">
        <v>151</v>
      </c>
      <c r="K47" s="9" t="str">
        <f t="shared" si="5"/>
        <v>-</v>
      </c>
      <c r="L47" s="9" t="str">
        <f t="shared" si="8"/>
        <v>-</v>
      </c>
      <c r="N47" s="9" t="str">
        <f t="shared" si="9"/>
        <v>-</v>
      </c>
      <c r="S47" s="8"/>
    </row>
    <row r="48" spans="1:19" x14ac:dyDescent="0.25">
      <c r="A48" s="7">
        <v>37</v>
      </c>
      <c r="B48" s="3" t="s">
        <v>41</v>
      </c>
      <c r="C48" s="18">
        <v>41964340000110</v>
      </c>
      <c r="D48" s="10">
        <v>7806064587</v>
      </c>
      <c r="E48" s="10" t="str">
        <f>CONCATENATE(LOWER(SUBSTITUTE(Fornecedores!B48," ","")),"@gmail.com")</f>
        <v>rodrigosouza@gmail.com</v>
      </c>
      <c r="F48" s="10" t="str">
        <f t="shared" ca="1" si="6"/>
        <v>R. Augusto da Albuquerque</v>
      </c>
      <c r="G48" s="10">
        <f t="shared" ca="1" si="7"/>
        <v>1155</v>
      </c>
      <c r="H48" s="10" t="s">
        <v>153</v>
      </c>
      <c r="I48" s="10" t="s">
        <v>154</v>
      </c>
      <c r="K48" s="10" t="str">
        <f t="shared" si="5"/>
        <v>-</v>
      </c>
      <c r="L48" s="10" t="str">
        <f t="shared" si="8"/>
        <v>-</v>
      </c>
      <c r="N48" s="10" t="str">
        <f t="shared" si="9"/>
        <v>-</v>
      </c>
      <c r="Q48" s="15">
        <f>Q45+1</f>
        <v>24</v>
      </c>
      <c r="R48" s="15">
        <f>R45+1</f>
        <v>13</v>
      </c>
      <c r="S48" s="8" t="str">
        <f>CONCATENATE($S$2,R48)</f>
        <v>-- 13</v>
      </c>
    </row>
    <row r="49" spans="1:19" x14ac:dyDescent="0.25">
      <c r="A49" s="7">
        <v>38</v>
      </c>
      <c r="B49" s="4" t="s">
        <v>42</v>
      </c>
      <c r="C49" s="19">
        <v>45712195000130</v>
      </c>
      <c r="D49" s="9">
        <v>3186469926</v>
      </c>
      <c r="E49" s="9" t="str">
        <f>CONCATENATE(LOWER(SUBSTITUTE(Fornecedores!B49," ","")),"@gmail.com")</f>
        <v>carlosrodrigues@gmail.com</v>
      </c>
      <c r="F49" s="9" t="str">
        <f t="shared" ca="1" si="6"/>
        <v>R. Maria Arruda</v>
      </c>
      <c r="G49" s="9">
        <f t="shared" ca="1" si="7"/>
        <v>647</v>
      </c>
      <c r="H49" s="9" t="s">
        <v>156</v>
      </c>
      <c r="I49" s="9" t="s">
        <v>157</v>
      </c>
      <c r="K49" s="9" t="str">
        <f t="shared" si="5"/>
        <v>-</v>
      </c>
      <c r="L49" s="9" t="str">
        <f t="shared" si="8"/>
        <v>-</v>
      </c>
      <c r="N49" s="9" t="str">
        <f t="shared" si="9"/>
        <v>-</v>
      </c>
      <c r="S49" s="8" t="str">
        <f ca="1">CONCATENATE(
$S$4,
INDIRECT(CONCATENATE("B",Q48)),$S$5,
INDIRECT(CONCATENATE("C",Q48)),$S$5,
INDIRECT(CONCATENATE("D",Q48)),$S$5,
INDIRECT(CONCATENATE("E",Q48)),$S$5,
INDIRECT(CONCATENATE("F",Q48)),$S$5,
INDIRECT(CONCATENATE("G",Q48)),$S$5,
INDIRECT(CONCATENATE("H",Q48)),$S$5,
INDIRECT(CONCATENATE("I",Q48)),$S$7)</f>
        <v>INSERT INTO public.fornecedores(nome, cnpj, telefone, email, rua, numero, cidade, estado) VALUES ('Antônio Rabelo', '69769485000189', '8534561825', 'antôniorabelo@gmail.com', 'R. Prof. Fernando Pereira', '1446', 'Jurema', 'PI');</v>
      </c>
    </row>
    <row r="50" spans="1:19" x14ac:dyDescent="0.25">
      <c r="A50" s="7">
        <v>39</v>
      </c>
      <c r="B50" s="3" t="s">
        <v>43</v>
      </c>
      <c r="C50" s="18">
        <v>81427873000187</v>
      </c>
      <c r="D50" s="10">
        <v>7101018899</v>
      </c>
      <c r="E50" s="10" t="str">
        <f>CONCATENATE(LOWER(SUBSTITUTE(Fornecedores!B50," ","")),"@gmail.com")</f>
        <v>wellingtonhenrique@gmail.com</v>
      </c>
      <c r="F50" s="10" t="str">
        <f t="shared" ca="1" si="6"/>
        <v>Pç. Augusto da Albuquerque</v>
      </c>
      <c r="G50" s="10">
        <f t="shared" ca="1" si="7"/>
        <v>668</v>
      </c>
      <c r="H50" s="10" t="s">
        <v>159</v>
      </c>
      <c r="I50" s="10" t="s">
        <v>160</v>
      </c>
      <c r="K50" s="10" t="str">
        <f t="shared" si="5"/>
        <v>-</v>
      </c>
      <c r="L50" s="10" t="str">
        <f t="shared" si="8"/>
        <v>-</v>
      </c>
      <c r="N50" s="10" t="str">
        <f t="shared" si="9"/>
        <v>-</v>
      </c>
      <c r="S50" s="8"/>
    </row>
    <row r="51" spans="1:19" x14ac:dyDescent="0.25">
      <c r="A51" s="7">
        <v>40</v>
      </c>
      <c r="B51" s="4" t="s">
        <v>44</v>
      </c>
      <c r="C51" s="19">
        <v>87707319000130</v>
      </c>
      <c r="D51" s="9">
        <v>6948966657</v>
      </c>
      <c r="E51" s="9" t="str">
        <f>CONCATENATE(LOWER(SUBSTITUTE(Fornecedores!B51," ","")),"@gmail.com")</f>
        <v>andrenunes@gmail.com</v>
      </c>
      <c r="F51" s="9" t="str">
        <f t="shared" ca="1" si="6"/>
        <v>R. Prof. Maria Arruda</v>
      </c>
      <c r="G51" s="9">
        <f t="shared" ca="1" si="7"/>
        <v>86</v>
      </c>
      <c r="H51" s="9" t="s">
        <v>161</v>
      </c>
      <c r="I51" s="9" t="s">
        <v>162</v>
      </c>
      <c r="K51" s="9" t="str">
        <f t="shared" si="5"/>
        <v>-</v>
      </c>
      <c r="L51" s="9" t="str">
        <f t="shared" si="8"/>
        <v>-</v>
      </c>
      <c r="N51" s="9" t="str">
        <f t="shared" si="9"/>
        <v>-</v>
      </c>
      <c r="Q51" s="15">
        <f>Q48+1</f>
        <v>25</v>
      </c>
      <c r="R51" s="15">
        <f>R48+1</f>
        <v>14</v>
      </c>
      <c r="S51" s="8" t="str">
        <f>CONCATENATE($S$2,R51)</f>
        <v>-- 14</v>
      </c>
    </row>
    <row r="52" spans="1:19" x14ac:dyDescent="0.25">
      <c r="A52" s="7">
        <v>41</v>
      </c>
      <c r="B52" s="3" t="s">
        <v>45</v>
      </c>
      <c r="C52" s="18">
        <v>18432421000157</v>
      </c>
      <c r="D52" s="10">
        <v>3451899001</v>
      </c>
      <c r="E52" s="10" t="str">
        <f>CONCATENATE(LOWER(SUBSTITUTE(Fornecedores!B52," ","")),"@gmail.com")</f>
        <v>israelneves@gmail.com</v>
      </c>
      <c r="F52" s="10" t="str">
        <f t="shared" ca="1" si="6"/>
        <v>R. Rodrigo Souza</v>
      </c>
      <c r="G52" s="10">
        <f t="shared" ca="1" si="7"/>
        <v>702</v>
      </c>
      <c r="H52" s="10" t="s">
        <v>163</v>
      </c>
      <c r="I52" s="10" t="s">
        <v>164</v>
      </c>
      <c r="K52" s="10" t="str">
        <f t="shared" si="5"/>
        <v>-</v>
      </c>
      <c r="L52" s="10" t="str">
        <f t="shared" si="8"/>
        <v>-</v>
      </c>
      <c r="N52" s="10" t="str">
        <f t="shared" si="9"/>
        <v>-</v>
      </c>
      <c r="S52" s="8" t="str">
        <f ca="1">CONCATENATE(
$S$4,
INDIRECT(CONCATENATE("B",Q51)),$S$5,
INDIRECT(CONCATENATE("C",Q51)),$S$5,
INDIRECT(CONCATENATE("D",Q51)),$S$5,
INDIRECT(CONCATENATE("E",Q51)),$S$5,
INDIRECT(CONCATENATE("F",Q51)),$S$5,
INDIRECT(CONCATENATE("G",Q51)),$S$5,
INDIRECT(CONCATENATE("H",Q51)),$S$5,
INDIRECT(CONCATENATE("I",Q51)),$S$7)</f>
        <v>INSERT INTO public.fornecedores(nome, cnpj, telefone, email, rua, numero, cidade, estado) VALUES ('Augusto da Albuquerque', '83146514000187', '7025966914', 'augustodaalbuquerque@gmail.com', 'Pç. Wellington Henrique', '441', 'Alto Alegre', 'RR');</v>
      </c>
    </row>
    <row r="53" spans="1:19" x14ac:dyDescent="0.25">
      <c r="A53" s="7">
        <v>42</v>
      </c>
      <c r="B53" s="4" t="s">
        <v>46</v>
      </c>
      <c r="C53" s="19">
        <v>58516814000163</v>
      </c>
      <c r="D53" s="9">
        <v>1010003163</v>
      </c>
      <c r="E53" s="9" t="str">
        <f>CONCATENATE(LOWER(SUBSTITUTE(Fornecedores!B53," ","")),"@gmail.com")</f>
        <v>carlosantunes@gmail.com</v>
      </c>
      <c r="F53" s="9" t="str">
        <f t="shared" ca="1" si="6"/>
        <v>Av. Anderson Andrade Junqueira</v>
      </c>
      <c r="G53" s="9">
        <f t="shared" ca="1" si="7"/>
        <v>711</v>
      </c>
      <c r="H53" s="9" t="s">
        <v>166</v>
      </c>
      <c r="I53" s="9" t="s">
        <v>167</v>
      </c>
      <c r="K53" s="9" t="str">
        <f t="shared" si="5"/>
        <v>-</v>
      </c>
      <c r="L53" s="9" t="str">
        <f t="shared" si="8"/>
        <v>-</v>
      </c>
      <c r="N53" s="9" t="str">
        <f t="shared" si="9"/>
        <v>-</v>
      </c>
      <c r="S53" s="8"/>
    </row>
    <row r="54" spans="1:19" x14ac:dyDescent="0.25">
      <c r="A54" s="7">
        <v>43</v>
      </c>
      <c r="B54" s="3" t="s">
        <v>189</v>
      </c>
      <c r="C54" s="18">
        <v>71678242000187</v>
      </c>
      <c r="D54" s="10">
        <v>1773286787</v>
      </c>
      <c r="E54" s="10" t="str">
        <f>CONCATENATE(LOWER(SUBSTITUTE(Fornecedores!B54," ","")),"@gmail.com")</f>
        <v>marcosdasilvasantos@gmail.com</v>
      </c>
      <c r="F54" s="10" t="str">
        <f t="shared" ca="1" si="6"/>
        <v>Av. Carlos Antunes</v>
      </c>
      <c r="G54" s="10">
        <f t="shared" ca="1" si="7"/>
        <v>495</v>
      </c>
      <c r="H54" s="10" t="s">
        <v>168</v>
      </c>
      <c r="I54" s="10" t="s">
        <v>136</v>
      </c>
      <c r="K54" s="10" t="str">
        <f t="shared" si="5"/>
        <v>-</v>
      </c>
      <c r="L54" s="10" t="str">
        <f t="shared" si="8"/>
        <v>-</v>
      </c>
      <c r="N54" s="10" t="str">
        <f t="shared" si="9"/>
        <v>-</v>
      </c>
      <c r="Q54" s="15">
        <f>Q51+1</f>
        <v>26</v>
      </c>
      <c r="R54" s="15">
        <f>R51+1</f>
        <v>15</v>
      </c>
      <c r="S54" s="8" t="str">
        <f>CONCATENATE($S$2,R54)</f>
        <v>-- 15</v>
      </c>
    </row>
    <row r="55" spans="1:19" x14ac:dyDescent="0.25">
      <c r="A55" s="7">
        <v>44</v>
      </c>
      <c r="B55" s="4" t="s">
        <v>48</v>
      </c>
      <c r="C55" s="19">
        <v>73518555000101</v>
      </c>
      <c r="D55" s="9">
        <v>9686288397</v>
      </c>
      <c r="E55" s="9" t="str">
        <f>CONCATENATE(LOWER(SUBSTITUTE(Fornecedores!B55," ","")),"@gmail.com")</f>
        <v>giovanematos@gmail.com</v>
      </c>
      <c r="F55" s="9" t="str">
        <f t="shared" ca="1" si="6"/>
        <v>R. Anderson Andrade Junqueira</v>
      </c>
      <c r="G55" s="9">
        <f t="shared" ca="1" si="7"/>
        <v>719</v>
      </c>
      <c r="H55" s="9" t="s">
        <v>135</v>
      </c>
      <c r="I55" s="9" t="s">
        <v>136</v>
      </c>
      <c r="K55" s="9" t="str">
        <f t="shared" si="5"/>
        <v>-</v>
      </c>
      <c r="L55" s="9" t="str">
        <f t="shared" si="8"/>
        <v>-</v>
      </c>
      <c r="N55" s="9" t="str">
        <f t="shared" si="9"/>
        <v>-</v>
      </c>
      <c r="S55" s="8" t="str">
        <f ca="1">CONCATENATE(
$S$4,
INDIRECT(CONCATENATE("B",Q54)),$S$5,
INDIRECT(CONCATENATE("C",Q54)),$S$5,
INDIRECT(CONCATENATE("D",Q54)),$S$5,
INDIRECT(CONCATENATE("E",Q54)),$S$5,
INDIRECT(CONCATENATE("F",Q54)),$S$5,
INDIRECT(CONCATENATE("G",Q54)),$S$5,
INDIRECT(CONCATENATE("H",Q54)),$S$5,
INDIRECT(CONCATENATE("I",Q54)),$S$7)</f>
        <v>INSERT INTO public.fornecedores(nome, cnpj, telefone, email, rua, numero, cidade, estado) VALUES ('Nicolas Vieira', '25880771000141', '1261340903', 'nicolasvieira@gmail.com', 'R. Rodrigo da Albuquerque', '413', 'Mairinque', 'SP');</v>
      </c>
    </row>
    <row r="56" spans="1:19" x14ac:dyDescent="0.25">
      <c r="A56" s="7">
        <v>45</v>
      </c>
      <c r="B56" s="3" t="s">
        <v>49</v>
      </c>
      <c r="C56" s="18">
        <v>18902131000120</v>
      </c>
      <c r="D56" s="10">
        <v>2086599707</v>
      </c>
      <c r="E56" s="10" t="str">
        <f>CONCATENATE(LOWER(SUBSTITUTE(Fornecedores!B56," ","")),"@gmail.com")</f>
        <v>guilhermecardoso@gmail.com</v>
      </c>
      <c r="F56" s="10" t="str">
        <f t="shared" ca="1" si="6"/>
        <v>R. Prof. Tadeu Fernandes da Albuquerque</v>
      </c>
      <c r="G56" s="10">
        <f t="shared" ca="1" si="7"/>
        <v>1415</v>
      </c>
      <c r="H56" s="10" t="s">
        <v>169</v>
      </c>
      <c r="I56" s="10" t="s">
        <v>141</v>
      </c>
      <c r="K56" s="10" t="str">
        <f t="shared" si="5"/>
        <v>-</v>
      </c>
      <c r="L56" s="10" t="str">
        <f t="shared" si="8"/>
        <v>-</v>
      </c>
      <c r="N56" s="10" t="str">
        <f t="shared" si="9"/>
        <v>-</v>
      </c>
      <c r="S56" s="8"/>
    </row>
    <row r="57" spans="1:19" x14ac:dyDescent="0.25">
      <c r="A57" s="7">
        <v>46</v>
      </c>
      <c r="B57" s="4" t="s">
        <v>50</v>
      </c>
      <c r="C57" s="19">
        <v>93213240000155</v>
      </c>
      <c r="D57" s="9">
        <v>1868415133</v>
      </c>
      <c r="E57" s="9" t="str">
        <f>CONCATENATE(LOWER(SUBSTITUTE(Fornecedores!B57," ","")),"@gmail.com")</f>
        <v>lucasnunes@gmail.com</v>
      </c>
      <c r="F57" s="9" t="str">
        <f t="shared" ca="1" si="6"/>
        <v>Pç. Augusto da Albuquerque</v>
      </c>
      <c r="G57" s="9">
        <f t="shared" ca="1" si="7"/>
        <v>566</v>
      </c>
      <c r="H57" s="9" t="s">
        <v>171</v>
      </c>
      <c r="I57" s="9" t="s">
        <v>141</v>
      </c>
      <c r="K57" s="9" t="str">
        <f t="shared" si="5"/>
        <v>-</v>
      </c>
      <c r="L57" s="9" t="str">
        <f t="shared" si="8"/>
        <v>-</v>
      </c>
      <c r="N57" s="9" t="str">
        <f t="shared" si="9"/>
        <v>-</v>
      </c>
      <c r="Q57" s="15">
        <f>Q54+1</f>
        <v>27</v>
      </c>
      <c r="R57" s="15">
        <f>R54+1</f>
        <v>16</v>
      </c>
      <c r="S57" s="8" t="str">
        <f>CONCATENATE($S$2,R57)</f>
        <v>-- 16</v>
      </c>
    </row>
    <row r="58" spans="1:19" x14ac:dyDescent="0.25">
      <c r="A58" s="7">
        <v>47</v>
      </c>
      <c r="B58" s="3" t="s">
        <v>190</v>
      </c>
      <c r="C58" s="18">
        <v>25177374000108</v>
      </c>
      <c r="D58" s="10">
        <v>1694213938</v>
      </c>
      <c r="E58" s="10" t="str">
        <f>CONCATENATE(LOWER(SUBSTITUTE(Fornecedores!B58," ","")),"@gmail.com")</f>
        <v>henriquemenezes@gmail.com</v>
      </c>
      <c r="F58" s="10" t="str">
        <f t="shared" ca="1" si="6"/>
        <v>Pç. Carlos Antunes</v>
      </c>
      <c r="G58" s="10">
        <f t="shared" ca="1" si="7"/>
        <v>386</v>
      </c>
      <c r="H58" s="10" t="s">
        <v>172</v>
      </c>
      <c r="I58" s="10" t="s">
        <v>145</v>
      </c>
      <c r="K58" s="10" t="str">
        <f t="shared" si="5"/>
        <v>-</v>
      </c>
      <c r="L58" s="10" t="str">
        <f t="shared" si="8"/>
        <v>-</v>
      </c>
      <c r="N58" s="10" t="str">
        <f t="shared" si="9"/>
        <v>-</v>
      </c>
      <c r="S58" s="8" t="str">
        <f ca="1">CONCATENATE(
$S$4,
INDIRECT(CONCATENATE("B",Q57)),$S$5,
INDIRECT(CONCATENATE("C",Q57)),$S$5,
INDIRECT(CONCATENATE("D",Q57)),$S$5,
INDIRECT(CONCATENATE("E",Q57)),$S$5,
INDIRECT(CONCATENATE("F",Q57)),$S$5,
INDIRECT(CONCATENATE("G",Q57)),$S$5,
INDIRECT(CONCATENATE("H",Q57)),$S$5,
INDIRECT(CONCATENATE("I",Q57)),$S$7)</f>
        <v>INSERT INTO public.fornecedores(nome, cnpj, telefone, email, rua, numero, cidade, estado) VALUES ('Mauro Andrade', '94217360000193', '6063523786', 'mauroandrade@gmail.com', 'R. Prof. Augusto de Melo', '1052', 'Sorocaba', 'SP');</v>
      </c>
    </row>
    <row r="59" spans="1:19" x14ac:dyDescent="0.25">
      <c r="A59" s="7">
        <v>48</v>
      </c>
      <c r="B59" s="4" t="s">
        <v>52</v>
      </c>
      <c r="C59" s="19">
        <v>65162886000115</v>
      </c>
      <c r="D59" s="9">
        <v>3691729405</v>
      </c>
      <c r="E59" s="9" t="str">
        <f>CONCATENATE(LOWER(SUBSTITUTE(Fornecedores!B59," ","")),"@gmail.com")</f>
        <v>manoelmiranda@gmail.com</v>
      </c>
      <c r="F59" s="9" t="str">
        <f t="shared" ca="1" si="6"/>
        <v>R. Prof. Manoel Miranda</v>
      </c>
      <c r="G59" s="9">
        <f t="shared" ca="1" si="7"/>
        <v>209</v>
      </c>
      <c r="H59" s="9" t="s">
        <v>173</v>
      </c>
      <c r="I59" s="9" t="s">
        <v>147</v>
      </c>
      <c r="K59" s="9" t="str">
        <f t="shared" si="5"/>
        <v>-</v>
      </c>
      <c r="L59" s="9" t="str">
        <f t="shared" si="8"/>
        <v>-</v>
      </c>
      <c r="N59" s="9" t="str">
        <f t="shared" si="9"/>
        <v>-</v>
      </c>
      <c r="S59" s="8"/>
    </row>
    <row r="60" spans="1:19" x14ac:dyDescent="0.25">
      <c r="A60" s="7">
        <v>49</v>
      </c>
      <c r="B60" s="3" t="s">
        <v>53</v>
      </c>
      <c r="C60" s="18">
        <v>34373351000160</v>
      </c>
      <c r="D60" s="10">
        <v>3824425468</v>
      </c>
      <c r="E60" s="10" t="str">
        <f>CONCATENATE(LOWER(SUBSTITUTE(Fornecedores!B60," ","")),"@gmail.com")</f>
        <v>carloseduardomenezes@gmail.com</v>
      </c>
      <c r="F60" s="10" t="str">
        <f t="shared" ca="1" si="6"/>
        <v>R. Anderson Andrade Junqueira</v>
      </c>
      <c r="G60" s="10">
        <f t="shared" ca="1" si="7"/>
        <v>1305</v>
      </c>
      <c r="H60" s="10" t="s">
        <v>174</v>
      </c>
      <c r="I60" s="10" t="s">
        <v>149</v>
      </c>
      <c r="K60" s="10" t="str">
        <f t="shared" si="5"/>
        <v>-</v>
      </c>
      <c r="L60" s="10" t="str">
        <f t="shared" si="8"/>
        <v>-</v>
      </c>
      <c r="N60" s="10" t="str">
        <f t="shared" si="9"/>
        <v>-</v>
      </c>
      <c r="Q60" s="15">
        <f>Q57+1</f>
        <v>28</v>
      </c>
      <c r="R60" s="15">
        <f>R57+1</f>
        <v>17</v>
      </c>
      <c r="S60" s="8" t="str">
        <f>CONCATENATE($S$2,R60)</f>
        <v>-- 17</v>
      </c>
    </row>
    <row r="61" spans="1:19" x14ac:dyDescent="0.25">
      <c r="A61" s="7">
        <v>50</v>
      </c>
      <c r="B61" s="4" t="s">
        <v>191</v>
      </c>
      <c r="C61" s="19">
        <v>72179542000184</v>
      </c>
      <c r="D61" s="9">
        <v>4733124725</v>
      </c>
      <c r="E61" s="9" t="str">
        <f>CONCATENATE(LOWER(SUBSTITUTE(Fornecedores!B61," ","")),"@gmail.com")</f>
        <v>patriciacorreiadaalbuquerque@gmail.com</v>
      </c>
      <c r="F61" s="9" t="str">
        <f t="shared" ca="1" si="6"/>
        <v>Pç. Antônio da Albuquerque Junior</v>
      </c>
      <c r="G61" s="9">
        <f t="shared" ca="1" si="7"/>
        <v>1342</v>
      </c>
      <c r="H61" s="9" t="s">
        <v>176</v>
      </c>
      <c r="I61" s="9" t="s">
        <v>151</v>
      </c>
      <c r="K61" s="9" t="str">
        <f t="shared" si="5"/>
        <v>-</v>
      </c>
      <c r="L61" s="9" t="str">
        <f t="shared" si="8"/>
        <v>-</v>
      </c>
      <c r="N61" s="9" t="str">
        <f t="shared" si="9"/>
        <v>-</v>
      </c>
      <c r="S61" s="8" t="str">
        <f ca="1">CONCATENATE(
$S$4,
INDIRECT(CONCATENATE("B",Q60)),$S$5,
INDIRECT(CONCATENATE("C",Q60)),$S$5,
INDIRECT(CONCATENATE("D",Q60)),$S$5,
INDIRECT(CONCATENATE("E",Q60)),$S$5,
INDIRECT(CONCATENATE("F",Q60)),$S$5,
INDIRECT(CONCATENATE("G",Q60)),$S$5,
INDIRECT(CONCATENATE("H",Q60)),$S$5,
INDIRECT(CONCATENATE("I",Q60)),$S$7)</f>
        <v>INSERT INTO public.fornecedores(nome, cnpj, telefone, email, rua, numero, cidade, estado) VALUES ('Roberto Souza', '20496076000167', '4265698951', 'robertosouza@gmail.com', 'Pç. Anderson Andrade Junqueira', '591', 'Niterói', 'RJ');</v>
      </c>
    </row>
    <row r="62" spans="1:19" x14ac:dyDescent="0.25">
      <c r="B62" s="12"/>
      <c r="S62" s="8"/>
    </row>
    <row r="63" spans="1:19" x14ac:dyDescent="0.25">
      <c r="B63" s="12"/>
      <c r="Q63" s="15">
        <f>Q60+1</f>
        <v>29</v>
      </c>
      <c r="R63" s="15">
        <f>R60+1</f>
        <v>18</v>
      </c>
      <c r="S63" s="8" t="str">
        <f>CONCATENATE($S$2,R63)</f>
        <v>-- 18</v>
      </c>
    </row>
    <row r="64" spans="1:19" x14ac:dyDescent="0.25">
      <c r="S64" s="8" t="str">
        <f ca="1">CONCATENATE(
$S$4,
INDIRECT(CONCATENATE("B",Q63)),$S$5,
INDIRECT(CONCATENATE("C",Q63)),$S$5,
INDIRECT(CONCATENATE("D",Q63)),$S$5,
INDIRECT(CONCATENATE("E",Q63)),$S$5,
INDIRECT(CONCATENATE("F",Q63)),$S$5,
INDIRECT(CONCATENATE("G",Q63)),$S$5,
INDIRECT(CONCATENATE("H",Q63)),$S$5,
INDIRECT(CONCATENATE("I",Q63)),$S$7)</f>
        <v>INSERT INTO public.fornecedores(nome, cnpj, telefone, email, rua, numero, cidade, estado) VALUES ('Priscila Camargo de Melo', '93236650001007', '5095424178', 'priscilacamargodemelo@gmail.com', 'Pç. Guilherme Cardoso', '1174', 'Petropólis', 'RJ');</v>
      </c>
    </row>
    <row r="65" spans="17:19" x14ac:dyDescent="0.25">
      <c r="S65" s="8"/>
    </row>
    <row r="66" spans="17:19" x14ac:dyDescent="0.25">
      <c r="Q66" s="15">
        <f>Q63+1</f>
        <v>30</v>
      </c>
      <c r="R66" s="15">
        <f>R63+1</f>
        <v>19</v>
      </c>
      <c r="S66" s="8" t="str">
        <f>CONCATENATE($S$2,R66)</f>
        <v>-- 19</v>
      </c>
    </row>
    <row r="67" spans="17:19" x14ac:dyDescent="0.25">
      <c r="S67" s="8" t="str">
        <f ca="1">CONCATENATE(
$S$4,
INDIRECT(CONCATENATE("B",Q66)),$S$5,
INDIRECT(CONCATENATE("C",Q66)),$S$5,
INDIRECT(CONCATENATE("D",Q66)),$S$5,
INDIRECT(CONCATENATE("E",Q66)),$S$5,
INDIRECT(CONCATENATE("F",Q66)),$S$5,
INDIRECT(CONCATENATE("G",Q66)),$S$5,
INDIRECT(CONCATENATE("H",Q66)),$S$5,
INDIRECT(CONCATENATE("I",Q66)),$S$7)</f>
        <v>INSERT INTO public.fornecedores(nome, cnpj, telefone, email, rua, numero, cidade, estado) VALUES ('Joaquim Teixeira', '30062326000104', '2488207874', 'joaquimteixeira@gmail.com', 'R. Rogerio Saraiva', '1127', 'Serra Alta', 'SC');</v>
      </c>
    </row>
    <row r="68" spans="17:19" x14ac:dyDescent="0.25">
      <c r="S68" s="8"/>
    </row>
    <row r="69" spans="17:19" x14ac:dyDescent="0.25">
      <c r="Q69" s="15">
        <f>Q66+1</f>
        <v>31</v>
      </c>
      <c r="R69" s="15">
        <f>R66+1</f>
        <v>20</v>
      </c>
      <c r="S69" s="8" t="str">
        <f>CONCATENATE($S$2,R69)</f>
        <v>-- 20</v>
      </c>
    </row>
    <row r="70" spans="17:19" x14ac:dyDescent="0.25">
      <c r="S70" s="8" t="str">
        <f ca="1">CONCATENATE(
$S$4,
INDIRECT(CONCATENATE("B",Q69)),$S$5,
INDIRECT(CONCATENATE("C",Q69)),$S$5,
INDIRECT(CONCATENATE("D",Q69)),$S$5,
INDIRECT(CONCATENATE("E",Q69)),$S$5,
INDIRECT(CONCATENATE("F",Q69)),$S$5,
INDIRECT(CONCATENATE("G",Q69)),$S$5,
INDIRECT(CONCATENATE("H",Q69)),$S$5,
INDIRECT(CONCATENATE("I",Q69)),$S$7)</f>
        <v>INSERT INTO public.fornecedores(nome, cnpj, telefone, email, rua, numero, cidade, estado) VALUES ('Rogerio Saraiva', '12673801000105', '3473253807', 'rogeriosaraiva@gmail.com', 'Pç. Carlos Antunes', '1437', 'Ponta Grossa', 'PR');</v>
      </c>
    </row>
    <row r="71" spans="17:19" x14ac:dyDescent="0.25">
      <c r="S71" s="8"/>
    </row>
    <row r="72" spans="17:19" x14ac:dyDescent="0.25">
      <c r="Q72" s="15">
        <f>Q69+1</f>
        <v>32</v>
      </c>
      <c r="R72" s="15">
        <f>R69+1</f>
        <v>21</v>
      </c>
      <c r="S72" s="8" t="str">
        <f>CONCATENATE($S$2,R72)</f>
        <v>-- 21</v>
      </c>
    </row>
    <row r="73" spans="17:19" x14ac:dyDescent="0.25">
      <c r="S73" s="8" t="str">
        <f ca="1">CONCATENATE(
$S$4,
INDIRECT(CONCATENATE("B",Q72)),$S$5,
INDIRECT(CONCATENATE("C",Q72)),$S$5,
INDIRECT(CONCATENATE("D",Q72)),$S$5,
INDIRECT(CONCATENATE("E",Q72)),$S$5,
INDIRECT(CONCATENATE("F",Q72)),$S$5,
INDIRECT(CONCATENATE("G",Q72)),$S$5,
INDIRECT(CONCATENATE("H",Q72)),$S$5,
INDIRECT(CONCATENATE("I",Q72)),$S$7)</f>
        <v>INSERT INTO public.fornecedores(nome, cnpj, telefone, email, rua, numero, cidade, estado) VALUES ('Miguel Duarte', '48584810000169', '5835759645', 'miguelduarte@gmail.com', 'R. Prof. Rodrigo Souza', '1120', 'Itamaraca', 'PE');</v>
      </c>
    </row>
    <row r="74" spans="17:19" x14ac:dyDescent="0.25">
      <c r="S74" s="8"/>
    </row>
    <row r="75" spans="17:19" x14ac:dyDescent="0.25">
      <c r="Q75" s="15">
        <f>Q72+1</f>
        <v>33</v>
      </c>
      <c r="R75" s="15">
        <f>R72+1</f>
        <v>22</v>
      </c>
      <c r="S75" s="8" t="str">
        <f>CONCATENATE($S$2,R75)</f>
        <v>-- 22</v>
      </c>
    </row>
    <row r="76" spans="17:19" x14ac:dyDescent="0.25">
      <c r="S76" s="8" t="str">
        <f ca="1">CONCATENATE(
$S$4,
INDIRECT(CONCATENATE("B",Q75)),$S$5,
INDIRECT(CONCATENATE("C",Q75)),$S$5,
INDIRECT(CONCATENATE("D",Q75)),$S$5,
INDIRECT(CONCATENATE("E",Q75)),$S$5,
INDIRECT(CONCATENATE("F",Q75)),$S$5,
INDIRECT(CONCATENATE("G",Q75)),$S$5,
INDIRECT(CONCATENATE("H",Q75)),$S$5,
INDIRECT(CONCATENATE("I",Q75)),$S$7)</f>
        <v>INSERT INTO public.fornecedores(nome, cnpj, telefone, email, rua, numero, cidade, estado) VALUES ('Thais Pereira', '74382698000193', '8472358797', 'thaispereira@gmail.com', 'R. Prof. Eduardo Ferreira', '1348', 'Manaus', 'AM');</v>
      </c>
    </row>
    <row r="77" spans="17:19" x14ac:dyDescent="0.25">
      <c r="S77" s="8"/>
    </row>
    <row r="78" spans="17:19" x14ac:dyDescent="0.25">
      <c r="Q78" s="15">
        <f>Q75+1</f>
        <v>34</v>
      </c>
      <c r="R78" s="15">
        <f>R75+1</f>
        <v>23</v>
      </c>
      <c r="S78" s="8" t="str">
        <f>CONCATENATE($S$2,R78)</f>
        <v>-- 23</v>
      </c>
    </row>
    <row r="79" spans="17:19" x14ac:dyDescent="0.25">
      <c r="S79" s="8" t="str">
        <f ca="1">CONCATENATE(
$S$4,
INDIRECT(CONCATENATE("B",Q78)),$S$5,
INDIRECT(CONCATENATE("C",Q78)),$S$5,
INDIRECT(CONCATENATE("D",Q78)),$S$5,
INDIRECT(CONCATENATE("E",Q78)),$S$5,
INDIRECT(CONCATENATE("F",Q78)),$S$5,
INDIRECT(CONCATENATE("G",Q78)),$S$5,
INDIRECT(CONCATENATE("H",Q78)),$S$5,
INDIRECT(CONCATENATE("I",Q78)),$S$7)</f>
        <v>INSERT INTO public.fornecedores(nome, cnpj, telefone, email, rua, numero, cidade, estado) VALUES ('Luana de Melo', '26039089000193', '2396784843', 'luanademelo@gmail.com', 'R. Nicolas Vieira', '355', 'Xapuri', 'AC');</v>
      </c>
    </row>
    <row r="80" spans="17:19" x14ac:dyDescent="0.25">
      <c r="S80" s="8"/>
    </row>
    <row r="81" spans="17:19" x14ac:dyDescent="0.25">
      <c r="Q81" s="15">
        <f>Q78+1</f>
        <v>35</v>
      </c>
      <c r="R81" s="15">
        <f>R78+1</f>
        <v>24</v>
      </c>
      <c r="S81" s="8" t="str">
        <f>CONCATENATE($S$2,R81)</f>
        <v>-- 24</v>
      </c>
    </row>
    <row r="82" spans="17:19" x14ac:dyDescent="0.25">
      <c r="S82" s="8" t="str">
        <f ca="1">CONCATENATE(
$S$4,
INDIRECT(CONCATENATE("B",Q81)),$S$5,
INDIRECT(CONCATENATE("C",Q81)),$S$5,
INDIRECT(CONCATENATE("D",Q81)),$S$5,
INDIRECT(CONCATENATE("E",Q81)),$S$5,
INDIRECT(CONCATENATE("F",Q81)),$S$5,
INDIRECT(CONCATENATE("G",Q81)),$S$5,
INDIRECT(CONCATENATE("H",Q81)),$S$5,
INDIRECT(CONCATENATE("I",Q81)),$S$7)</f>
        <v>INSERT INTO public.fornecedores(nome, cnpj, telefone, email, rua, numero, cidade, estado) VALUES ('Rodrigo da Albuquerque', '95683740001828', '7843079928', 'rodrigodaalbuquerque@gmail.com', 'R. Prof. Giovana Pereira', '490', 'Jandaira', 'RN');</v>
      </c>
    </row>
    <row r="83" spans="17:19" x14ac:dyDescent="0.25">
      <c r="S83" s="8"/>
    </row>
    <row r="84" spans="17:19" x14ac:dyDescent="0.25">
      <c r="Q84" s="15">
        <f>Q81+1</f>
        <v>36</v>
      </c>
      <c r="R84" s="15">
        <f>R81+1</f>
        <v>25</v>
      </c>
      <c r="S84" s="8" t="str">
        <f>CONCATENATE($S$2,R84)</f>
        <v>-- 25</v>
      </c>
    </row>
    <row r="85" spans="17:19" x14ac:dyDescent="0.25">
      <c r="S85" s="8" t="str">
        <f ca="1">CONCATENATE(
$S$4,
INDIRECT(CONCATENATE("B",Q84)),$S$5,
INDIRECT(CONCATENATE("C",Q84)),$S$5,
INDIRECT(CONCATENATE("D",Q84)),$S$5,
INDIRECT(CONCATENATE("E",Q84)),$S$5,
INDIRECT(CONCATENATE("F",Q84)),$S$5,
INDIRECT(CONCATENATE("G",Q84)),$S$5,
INDIRECT(CONCATENATE("H",Q84)),$S$5,
INDIRECT(CONCATENATE("I",Q84)),$S$7)</f>
        <v>INSERT INTO public.fornecedores(nome, cnpj, telefone, email, rua, numero, cidade, estado) VALUES ('Manoel Calixto', '45576014000196', '1242015992', 'manoelcalixto@gmail.com', 'R. Ruan Gomes', '1189', 'Tobias Barreto', 'SE');</v>
      </c>
    </row>
    <row r="86" spans="17:19" x14ac:dyDescent="0.25">
      <c r="S86" s="8"/>
    </row>
    <row r="87" spans="17:19" x14ac:dyDescent="0.25">
      <c r="Q87" s="15">
        <f>Q84+1</f>
        <v>37</v>
      </c>
      <c r="R87" s="15">
        <f>R84+1</f>
        <v>26</v>
      </c>
      <c r="S87" s="8" t="str">
        <f>CONCATENATE($S$2,R87)</f>
        <v>-- 26</v>
      </c>
    </row>
    <row r="88" spans="17:19" x14ac:dyDescent="0.25">
      <c r="S88" s="8" t="str">
        <f ca="1">CONCATENATE(
$S$4,
INDIRECT(CONCATENATE("B",Q87)),$S$5,
INDIRECT(CONCATENATE("C",Q87)),$S$5,
INDIRECT(CONCATENATE("D",Q87)),$S$5,
INDIRECT(CONCATENATE("E",Q87)),$S$5,
INDIRECT(CONCATENATE("F",Q87)),$S$5,
INDIRECT(CONCATENATE("G",Q87)),$S$5,
INDIRECT(CONCATENATE("H",Q87)),$S$5,
INDIRECT(CONCATENATE("I",Q87)),$S$7)</f>
        <v>INSERT INTO public.fornecedores(nome, cnpj, telefone, email, rua, numero, cidade, estado) VALUES ('Ruan Gomes', '10263771000125', '8662208736', 'ruangomes@gmail.com', 'Av. Mauro Andrade', '249', 'Uruana', 'GO');</v>
      </c>
    </row>
    <row r="89" spans="17:19" x14ac:dyDescent="0.25">
      <c r="S89" s="8"/>
    </row>
    <row r="90" spans="17:19" x14ac:dyDescent="0.25">
      <c r="Q90" s="15">
        <f>Q87+1</f>
        <v>38</v>
      </c>
      <c r="R90" s="15">
        <f>R87+1</f>
        <v>27</v>
      </c>
      <c r="S90" s="8" t="str">
        <f>CONCATENATE($S$2,R90)</f>
        <v>-- 27</v>
      </c>
    </row>
    <row r="91" spans="17:19" x14ac:dyDescent="0.25">
      <c r="S91" s="8" t="str">
        <f ca="1">CONCATENATE(
$S$4,
INDIRECT(CONCATENATE("B",Q90)),$S$5,
INDIRECT(CONCATENATE("C",Q90)),$S$5,
INDIRECT(CONCATENATE("D",Q90)),$S$5,
INDIRECT(CONCATENATE("E",Q90)),$S$5,
INDIRECT(CONCATENATE("F",Q90)),$S$5,
INDIRECT(CONCATENATE("G",Q90)),$S$5,
INDIRECT(CONCATENATE("H",Q90)),$S$5,
INDIRECT(CONCATENATE("I",Q90)),$S$7)</f>
        <v>INSERT INTO public.fornecedores(nome, cnpj, telefone, email, rua, numero, cidade, estado) VALUES ('Eduardo Ferreira', '75442723000140', '5735957340', 'eduardoferreira@gmail.com', 'Av. Rodrigo Souza', '176', 'Teresina', 'PI');</v>
      </c>
    </row>
    <row r="92" spans="17:19" x14ac:dyDescent="0.25">
      <c r="S92" s="8"/>
    </row>
    <row r="93" spans="17:19" x14ac:dyDescent="0.25">
      <c r="Q93" s="15">
        <f>Q90+1</f>
        <v>39</v>
      </c>
      <c r="R93" s="15">
        <f>R90+1</f>
        <v>28</v>
      </c>
      <c r="S93" s="8" t="str">
        <f>CONCATENATE($S$2,R93)</f>
        <v>-- 28</v>
      </c>
    </row>
    <row r="94" spans="17:19" x14ac:dyDescent="0.25">
      <c r="S94" s="8" t="str">
        <f ca="1">CONCATENATE(
$S$4,
INDIRECT(CONCATENATE("B",Q93)),$S$5,
INDIRECT(CONCATENATE("C",Q93)),$S$5,
INDIRECT(CONCATENATE("D",Q93)),$S$5,
INDIRECT(CONCATENATE("E",Q93)),$S$5,
INDIRECT(CONCATENATE("F",Q93)),$S$5,
INDIRECT(CONCATENATE("G",Q93)),$S$5,
INDIRECT(CONCATENATE("H",Q93)),$S$5,
INDIRECT(CONCATENATE("I",Q93)),$S$7)</f>
        <v>INSERT INTO public.fornecedores(nome, cnpj, telefone, email, rua, numero, cidade, estado) VALUES ('Alberto Covas', '64887080000121', '4554714486', 'albertocovas@gmail.com', 'R. Prof. Manoel Miranda', '337', 'Pacaraima', 'RR');</v>
      </c>
    </row>
    <row r="95" spans="17:19" x14ac:dyDescent="0.25">
      <c r="S95" s="8"/>
    </row>
    <row r="96" spans="17:19" x14ac:dyDescent="0.25">
      <c r="Q96" s="15">
        <f>Q93+1</f>
        <v>40</v>
      </c>
      <c r="R96" s="15">
        <f>R93+1</f>
        <v>29</v>
      </c>
      <c r="S96" s="8" t="str">
        <f>CONCATENATE($S$2,R96)</f>
        <v>-- 29</v>
      </c>
    </row>
    <row r="97" spans="17:19" x14ac:dyDescent="0.25">
      <c r="S97" s="8" t="str">
        <f ca="1">CONCATENATE(
$S$4,
INDIRECT(CONCATENATE("B",Q96)),$S$5,
INDIRECT(CONCATENATE("C",Q96)),$S$5,
INDIRECT(CONCATENATE("D",Q96)),$S$5,
INDIRECT(CONCATENATE("E",Q96)),$S$5,
INDIRECT(CONCATENATE("F",Q96)),$S$5,
INDIRECT(CONCATENATE("G",Q96)),$S$5,
INDIRECT(CONCATENATE("H",Q96)),$S$5,
INDIRECT(CONCATENATE("I",Q96)),$S$7)</f>
        <v>INSERT INTO public.fornecedores(nome, cnpj, telefone, email, rua, numero, cidade, estado) VALUES ('Bruno Moura', '23526943000158', '6208624464', 'brunomoura@gmail.com', 'R. Roberta da Silva Santos', '599', 'Sorocaba', 'SP');</v>
      </c>
    </row>
    <row r="98" spans="17:19" x14ac:dyDescent="0.25">
      <c r="S98" s="8"/>
    </row>
    <row r="99" spans="17:19" x14ac:dyDescent="0.25">
      <c r="Q99" s="15">
        <f>Q96+1</f>
        <v>41</v>
      </c>
      <c r="R99" s="15">
        <f>R96+1</f>
        <v>30</v>
      </c>
      <c r="S99" s="8" t="str">
        <f>CONCATENATE($S$2,R99)</f>
        <v>-- 30</v>
      </c>
    </row>
    <row r="100" spans="17:19" x14ac:dyDescent="0.25">
      <c r="S100" s="8" t="str">
        <f ca="1">CONCATENATE(
$S$4,
INDIRECT(CONCATENATE("B",Q99)),$S$5,
INDIRECT(CONCATENATE("C",Q99)),$S$5,
INDIRECT(CONCATENATE("D",Q99)),$S$5,
INDIRECT(CONCATENATE("E",Q99)),$S$5,
INDIRECT(CONCATENATE("F",Q99)),$S$5,
INDIRECT(CONCATENATE("G",Q99)),$S$5,
INDIRECT(CONCATENATE("H",Q99)),$S$5,
INDIRECT(CONCATENATE("I",Q99)),$S$7)</f>
        <v>INSERT INTO public.fornecedores(nome, cnpj, telefone, email, rua, numero, cidade, estado) VALUES ('Fernando Pereira', '36576427000180', '9627674238', 'fernandopereira@gmail.com', 'R. Prof. Jose Pinheiro de Melo', '500', 'Pilar do Sul', 'SP');</v>
      </c>
    </row>
    <row r="101" spans="17:19" x14ac:dyDescent="0.25">
      <c r="S101" s="8"/>
    </row>
    <row r="102" spans="17:19" x14ac:dyDescent="0.25">
      <c r="Q102" s="15">
        <f>Q99+1</f>
        <v>42</v>
      </c>
      <c r="R102" s="15">
        <f>R99+1</f>
        <v>31</v>
      </c>
      <c r="S102" s="8" t="str">
        <f>CONCATENATE($S$2,R102)</f>
        <v>-- 31</v>
      </c>
    </row>
    <row r="103" spans="17:19" x14ac:dyDescent="0.25">
      <c r="S103" s="8" t="str">
        <f ca="1">CONCATENATE(
$S$4,
INDIRECT(CONCATENATE("B",Q102)),$S$5,
INDIRECT(CONCATENATE("C",Q102)),$S$5,
INDIRECT(CONCATENATE("D",Q102)),$S$5,
INDIRECT(CONCATENATE("E",Q102)),$S$5,
INDIRECT(CONCATENATE("F",Q102)),$S$5,
INDIRECT(CONCATENATE("G",Q102)),$S$5,
INDIRECT(CONCATENATE("H",Q102)),$S$5,
INDIRECT(CONCATENATE("I",Q102)),$S$7)</f>
        <v>INSERT INTO public.fornecedores(nome, cnpj, telefone, email, rua, numero, cidade, estado) VALUES ('Israel Mendes', '86641148000120', '2890962847', 'israelmendes@gmail.com', 'Pç. Thais Pereira', '1236', 'Rio de Janeiro', 'RJ');</v>
      </c>
    </row>
    <row r="104" spans="17:19" x14ac:dyDescent="0.25">
      <c r="S104" s="8"/>
    </row>
    <row r="105" spans="17:19" x14ac:dyDescent="0.25">
      <c r="Q105" s="15">
        <f>Q102+1</f>
        <v>43</v>
      </c>
      <c r="R105" s="15">
        <f>R102+1</f>
        <v>32</v>
      </c>
      <c r="S105" s="8" t="str">
        <f>CONCATENATE($S$2,R105)</f>
        <v>-- 32</v>
      </c>
    </row>
    <row r="106" spans="17:19" x14ac:dyDescent="0.25">
      <c r="S106" s="8" t="str">
        <f ca="1">CONCATENATE(
$S$4,
INDIRECT(CONCATENATE("B",Q105)),$S$5,
INDIRECT(CONCATENATE("C",Q105)),$S$5,
INDIRECT(CONCATENATE("D",Q105)),$S$5,
INDIRECT(CONCATENATE("E",Q105)),$S$5,
INDIRECT(CONCATENATE("F",Q105)),$S$5,
INDIRECT(CONCATENATE("G",Q105)),$S$5,
INDIRECT(CONCATENATE("H",Q105)),$S$5,
INDIRECT(CONCATENATE("I",Q105)),$S$7)</f>
        <v>INSERT INTO public.fornecedores(nome, cnpj, telefone, email, rua, numero, cidade, estado) VALUES ('Juliana Araujo', '84344946000165', '1595529156', 'julianaaraujo@gmail.com', 'R. Maria Arruda', '869', 'Nova Iguaçu', 'RJ');</v>
      </c>
    </row>
    <row r="107" spans="17:19" x14ac:dyDescent="0.25">
      <c r="S107" s="8"/>
    </row>
    <row r="108" spans="17:19" x14ac:dyDescent="0.25">
      <c r="Q108" s="15">
        <f>Q105+1</f>
        <v>44</v>
      </c>
      <c r="R108" s="15">
        <f>R105+1</f>
        <v>33</v>
      </c>
      <c r="S108" s="8" t="str">
        <f>CONCATENATE($S$2,R108)</f>
        <v>-- 33</v>
      </c>
    </row>
    <row r="109" spans="17:19" x14ac:dyDescent="0.25">
      <c r="S109" s="8" t="str">
        <f ca="1">CONCATENATE(
$S$4,
INDIRECT(CONCATENATE("B",Q108)),$S$5,
INDIRECT(CONCATENATE("C",Q108)),$S$5,
INDIRECT(CONCATENATE("D",Q108)),$S$5,
INDIRECT(CONCATENATE("E",Q108)),$S$5,
INDIRECT(CONCATENATE("F",Q108)),$S$5,
INDIRECT(CONCATENATE("G",Q108)),$S$5,
INDIRECT(CONCATENATE("H",Q108)),$S$5,
INDIRECT(CONCATENATE("I",Q108)),$S$7)</f>
        <v>INSERT INTO public.fornecedores(nome, cnpj, telefone, email, rua, numero, cidade, estado) VALUES ('Tadeu Fernandes da Albuquerque', '66141383000126', '4675386540', 'tadeufernandesdaalbuquerque@gmail.com', 'Av. Fernando Pereira', '935', 'Blumenau', 'SC');</v>
      </c>
    </row>
    <row r="110" spans="17:19" x14ac:dyDescent="0.25">
      <c r="S110" s="8"/>
    </row>
    <row r="111" spans="17:19" x14ac:dyDescent="0.25">
      <c r="Q111" s="15">
        <f>Q108+1</f>
        <v>45</v>
      </c>
      <c r="R111" s="15">
        <f>R108+1</f>
        <v>34</v>
      </c>
      <c r="S111" s="8" t="str">
        <f>CONCATENATE($S$2,R111)</f>
        <v>-- 34</v>
      </c>
    </row>
    <row r="112" spans="17:19" x14ac:dyDescent="0.25">
      <c r="S112" s="8" t="str">
        <f ca="1">CONCATENATE(
$S$4,
INDIRECT(CONCATENATE("B",Q111)),$S$5,
INDIRECT(CONCATENATE("C",Q111)),$S$5,
INDIRECT(CONCATENATE("D",Q111)),$S$5,
INDIRECT(CONCATENATE("E",Q111)),$S$5,
INDIRECT(CONCATENATE("F",Q111)),$S$5,
INDIRECT(CONCATENATE("G",Q111)),$S$5,
INDIRECT(CONCATENATE("H",Q111)),$S$5,
INDIRECT(CONCATENATE("I",Q111)),$S$7)</f>
        <v>INSERT INTO public.fornecedores(nome, cnpj, telefone, email, rua, numero, cidade, estado) VALUES ('Maria Arruda', '95568941000132', '5456387873', 'mariaarruda@gmail.com', 'R. Prof. Patricia Correia da Albuquerque', '991', 'Porto Alegre', 'PR');</v>
      </c>
    </row>
    <row r="113" spans="17:19" x14ac:dyDescent="0.25">
      <c r="S113" s="8"/>
    </row>
    <row r="114" spans="17:19" x14ac:dyDescent="0.25">
      <c r="Q114" s="15">
        <f>Q111+1</f>
        <v>46</v>
      </c>
      <c r="R114" s="15">
        <f>R111+1</f>
        <v>35</v>
      </c>
      <c r="S114" s="8" t="str">
        <f>CONCATENATE($S$2,R114)</f>
        <v>-- 35</v>
      </c>
    </row>
    <row r="115" spans="17:19" x14ac:dyDescent="0.25">
      <c r="S115" s="8" t="str">
        <f ca="1">CONCATENATE(
$S$4,
INDIRECT(CONCATENATE("B",Q114)),$S$5,
INDIRECT(CONCATENATE("C",Q114)),$S$5,
INDIRECT(CONCATENATE("D",Q114)),$S$5,
INDIRECT(CONCATENATE("E",Q114)),$S$5,
INDIRECT(CONCATENATE("F",Q114)),$S$5,
INDIRECT(CONCATENATE("G",Q114)),$S$5,
INDIRECT(CONCATENATE("H",Q114)),$S$5,
INDIRECT(CONCATENATE("I",Q114)),$S$7)</f>
        <v>INSERT INTO public.fornecedores(nome, cnpj, telefone, email, rua, numero, cidade, estado) VALUES ('Giovana Pereira', '66940134000109', '2574473937', 'giovanapereira@gmail.com', 'Av. Rodrigo Souza', '669', 'Bom Jardim', 'PE');</v>
      </c>
    </row>
    <row r="116" spans="17:19" x14ac:dyDescent="0.25">
      <c r="S116" s="8"/>
    </row>
    <row r="117" spans="17:19" x14ac:dyDescent="0.25">
      <c r="Q117" s="15">
        <f>Q114+1</f>
        <v>47</v>
      </c>
      <c r="R117" s="15">
        <f>R114+1</f>
        <v>36</v>
      </c>
      <c r="S117" s="8" t="str">
        <f>CONCATENATE($S$2,R117)</f>
        <v>-- 36</v>
      </c>
    </row>
    <row r="118" spans="17:19" x14ac:dyDescent="0.25">
      <c r="S118" s="8" t="str">
        <f ca="1">CONCATENATE(
$S$4,
INDIRECT(CONCATENATE("B",Q117)),$S$5,
INDIRECT(CONCATENATE("C",Q117)),$S$5,
INDIRECT(CONCATENATE("D",Q117)),$S$5,
INDIRECT(CONCATENATE("E",Q117)),$S$5,
INDIRECT(CONCATENATE("F",Q117)),$S$5,
INDIRECT(CONCATENATE("G",Q117)),$S$5,
INDIRECT(CONCATENATE("H",Q117)),$S$5,
INDIRECT(CONCATENATE("I",Q117)),$S$7)</f>
        <v>INSERT INTO public.fornecedores(nome, cnpj, telefone, email, rua, numero, cidade, estado) VALUES ('Roberta da Silva Santos', '38153645000137', '4661136299', 'robertadasilvasantos@gmail.com', 'Pç. Carlos Eduardo Menezes', '1295', 'Tabatinga', 'AM');</v>
      </c>
    </row>
    <row r="119" spans="17:19" x14ac:dyDescent="0.25">
      <c r="S119" s="8"/>
    </row>
    <row r="120" spans="17:19" x14ac:dyDescent="0.25">
      <c r="Q120" s="15">
        <f>Q117+1</f>
        <v>48</v>
      </c>
      <c r="R120" s="15">
        <f>R117+1</f>
        <v>37</v>
      </c>
      <c r="S120" s="8" t="str">
        <f>CONCATENATE($S$2,R120)</f>
        <v>-- 37</v>
      </c>
    </row>
    <row r="121" spans="17:19" x14ac:dyDescent="0.25">
      <c r="S121" s="8" t="str">
        <f ca="1">CONCATENATE(
$S$4,
INDIRECT(CONCATENATE("B",Q120)),$S$5,
INDIRECT(CONCATENATE("C",Q120)),$S$5,
INDIRECT(CONCATENATE("D",Q120)),$S$5,
INDIRECT(CONCATENATE("E",Q120)),$S$5,
INDIRECT(CONCATENATE("F",Q120)),$S$5,
INDIRECT(CONCATENATE("G",Q120)),$S$5,
INDIRECT(CONCATENATE("H",Q120)),$S$5,
INDIRECT(CONCATENATE("I",Q120)),$S$7)</f>
        <v>INSERT INTO public.fornecedores(nome, cnpj, telefone, email, rua, numero, cidade, estado) VALUES ('Rodrigo Souza', '41964340000110', '7806064587', 'rodrigosouza@gmail.com', 'R. Augusto da Albuquerque', '1155', 'Brasileia', 'AC');</v>
      </c>
    </row>
    <row r="122" spans="17:19" x14ac:dyDescent="0.25">
      <c r="S122" s="8"/>
    </row>
    <row r="123" spans="17:19" x14ac:dyDescent="0.25">
      <c r="Q123" s="15">
        <f>Q120+1</f>
        <v>49</v>
      </c>
      <c r="R123" s="15">
        <f>R120+1</f>
        <v>38</v>
      </c>
      <c r="S123" s="8" t="str">
        <f>CONCATENATE($S$2,R123)</f>
        <v>-- 38</v>
      </c>
    </row>
    <row r="124" spans="17:19" x14ac:dyDescent="0.25">
      <c r="S124" s="8" t="str">
        <f ca="1">CONCATENATE(
$S$4,
INDIRECT(CONCATENATE("B",Q123)),$S$5,
INDIRECT(CONCATENATE("C",Q123)),$S$5,
INDIRECT(CONCATENATE("D",Q123)),$S$5,
INDIRECT(CONCATENATE("E",Q123)),$S$5,
INDIRECT(CONCATENATE("F",Q123)),$S$5,
INDIRECT(CONCATENATE("G",Q123)),$S$5,
INDIRECT(CONCATENATE("H",Q123)),$S$5,
INDIRECT(CONCATENATE("I",Q123)),$S$7)</f>
        <v>INSERT INTO public.fornecedores(nome, cnpj, telefone, email, rua, numero, cidade, estado) VALUES ('Carlos Rodrigues', '45712195000130', '3186469926', 'carlosrodrigues@gmail.com', 'R. Maria Arruda', '647', 'Bom Jesus', 'RN');</v>
      </c>
    </row>
    <row r="125" spans="17:19" x14ac:dyDescent="0.25">
      <c r="S125" s="8"/>
    </row>
    <row r="126" spans="17:19" x14ac:dyDescent="0.25">
      <c r="Q126" s="15">
        <f>Q123+1</f>
        <v>50</v>
      </c>
      <c r="R126" s="15">
        <f>R123+1</f>
        <v>39</v>
      </c>
      <c r="S126" s="8" t="str">
        <f>CONCATENATE($S$2,R126)</f>
        <v>-- 39</v>
      </c>
    </row>
    <row r="127" spans="17:19" x14ac:dyDescent="0.25">
      <c r="S127" s="8" t="str">
        <f ca="1">CONCATENATE(
$S$4,
INDIRECT(CONCATENATE("B",Q126)),$S$5,
INDIRECT(CONCATENATE("C",Q126)),$S$5,
INDIRECT(CONCATENATE("D",Q126)),$S$5,
INDIRECT(CONCATENATE("E",Q126)),$S$5,
INDIRECT(CONCATENATE("F",Q126)),$S$5,
INDIRECT(CONCATENATE("G",Q126)),$S$5,
INDIRECT(CONCATENATE("H",Q126)),$S$5,
INDIRECT(CONCATENATE("I",Q126)),$S$7)</f>
        <v>INSERT INTO public.fornecedores(nome, cnpj, telefone, email, rua, numero, cidade, estado) VALUES ('Wellington Henrique', '81427873000187', '7101018899', 'wellingtonhenrique@gmail.com', 'Pç. Augusto da Albuquerque', '668', 'Salgado', 'SE');</v>
      </c>
    </row>
    <row r="128" spans="17:19" x14ac:dyDescent="0.25">
      <c r="S128" s="8"/>
    </row>
    <row r="129" spans="17:19" x14ac:dyDescent="0.25">
      <c r="Q129" s="15">
        <f>Q126+1</f>
        <v>51</v>
      </c>
      <c r="R129" s="15">
        <f>R126+1</f>
        <v>40</v>
      </c>
      <c r="S129" s="8" t="str">
        <f>CONCATENATE($S$2,R129)</f>
        <v>-- 40</v>
      </c>
    </row>
    <row r="130" spans="17:19" x14ac:dyDescent="0.25">
      <c r="S130" s="8" t="str">
        <f ca="1">CONCATENATE(
$S$4,
INDIRECT(CONCATENATE("B",Q129)),$S$5,
INDIRECT(CONCATENATE("C",Q129)),$S$5,
INDIRECT(CONCATENATE("D",Q129)),$S$5,
INDIRECT(CONCATENATE("E",Q129)),$S$5,
INDIRECT(CONCATENATE("F",Q129)),$S$5,
INDIRECT(CONCATENATE("G",Q129)),$S$5,
INDIRECT(CONCATENATE("H",Q129)),$S$5,
INDIRECT(CONCATENATE("I",Q129)),$S$7)</f>
        <v>INSERT INTO public.fornecedores(nome, cnpj, telefone, email, rua, numero, cidade, estado) VALUES ('Andre Nunes', '87707319000130', '6948966657', 'andrenunes@gmail.com', 'R. Prof. Maria Arruda', '86', 'Verendina', 'MG');</v>
      </c>
    </row>
    <row r="131" spans="17:19" x14ac:dyDescent="0.25">
      <c r="S131" s="8"/>
    </row>
    <row r="132" spans="17:19" x14ac:dyDescent="0.25">
      <c r="Q132" s="15">
        <f>Q129+1</f>
        <v>52</v>
      </c>
      <c r="R132" s="15">
        <f>R129+1</f>
        <v>41</v>
      </c>
      <c r="S132" s="8" t="str">
        <f>CONCATENATE($S$2,R132)</f>
        <v>-- 41</v>
      </c>
    </row>
    <row r="133" spans="17:19" x14ac:dyDescent="0.25">
      <c r="S133" s="8" t="str">
        <f ca="1">CONCATENATE(
$S$4,
INDIRECT(CONCATENATE("B",Q132)),$S$5,
INDIRECT(CONCATENATE("C",Q132)),$S$5,
INDIRECT(CONCATENATE("D",Q132)),$S$5,
INDIRECT(CONCATENATE("E",Q132)),$S$5,
INDIRECT(CONCATENATE("F",Q132)),$S$5,
INDIRECT(CONCATENATE("G",Q132)),$S$5,
INDIRECT(CONCATENATE("H",Q132)),$S$5,
INDIRECT(CONCATENATE("I",Q132)),$S$7)</f>
        <v>INSERT INTO public.fornecedores(nome, cnpj, telefone, email, rua, numero, cidade, estado) VALUES ('Israel Neves', '18432421000157', '3451899001', 'israelneves@gmail.com', 'R. Rodrigo Souza', '702', 'Jurema', 'PI');</v>
      </c>
    </row>
    <row r="134" spans="17:19" x14ac:dyDescent="0.25">
      <c r="S134" s="8"/>
    </row>
    <row r="135" spans="17:19" x14ac:dyDescent="0.25">
      <c r="Q135" s="15">
        <f>Q132+1</f>
        <v>53</v>
      </c>
      <c r="R135" s="15">
        <f>R132+1</f>
        <v>42</v>
      </c>
      <c r="S135" s="8" t="str">
        <f>CONCATENATE($S$2,R135)</f>
        <v>-- 42</v>
      </c>
    </row>
    <row r="136" spans="17:19" x14ac:dyDescent="0.25">
      <c r="S136" s="8" t="str">
        <f ca="1">CONCATENATE(
$S$4,
INDIRECT(CONCATENATE("B",Q135)),$S$5,
INDIRECT(CONCATENATE("C",Q135)),$S$5,
INDIRECT(CONCATENATE("D",Q135)),$S$5,
INDIRECT(CONCATENATE("E",Q135)),$S$5,
INDIRECT(CONCATENATE("F",Q135)),$S$5,
INDIRECT(CONCATENATE("G",Q135)),$S$5,
INDIRECT(CONCATENATE("H",Q135)),$S$5,
INDIRECT(CONCATENATE("I",Q135)),$S$7)</f>
        <v>INSERT INTO public.fornecedores(nome, cnpj, telefone, email, rua, numero, cidade, estado) VALUES ('Carlos Antunes', '58516814000163', '1010003163', 'carlosantunes@gmail.com', 'Av. Anderson Andrade Junqueira', '711', 'Alto Alegre', 'RR');</v>
      </c>
    </row>
    <row r="137" spans="17:19" x14ac:dyDescent="0.25">
      <c r="S137" s="8"/>
    </row>
    <row r="138" spans="17:19" x14ac:dyDescent="0.25">
      <c r="Q138" s="15">
        <f>Q135+1</f>
        <v>54</v>
      </c>
      <c r="R138" s="15">
        <f>R135+1</f>
        <v>43</v>
      </c>
      <c r="S138" s="8" t="str">
        <f>CONCATENATE($S$2,R138)</f>
        <v>-- 43</v>
      </c>
    </row>
    <row r="139" spans="17:19" x14ac:dyDescent="0.25">
      <c r="S139" s="8" t="str">
        <f ca="1">CONCATENATE(
$S$4,
INDIRECT(CONCATENATE("B",Q138)),$S$5,
INDIRECT(CONCATENATE("C",Q138)),$S$5,
INDIRECT(CONCATENATE("D",Q138)),$S$5,
INDIRECT(CONCATENATE("E",Q138)),$S$5,
INDIRECT(CONCATENATE("F",Q138)),$S$5,
INDIRECT(CONCATENATE("G",Q138)),$S$5,
INDIRECT(CONCATENATE("H",Q138)),$S$5,
INDIRECT(CONCATENATE("I",Q138)),$S$7)</f>
        <v>INSERT INTO public.fornecedores(nome, cnpj, telefone, email, rua, numero, cidade, estado) VALUES ('Marcos da Silva Santos', '71678242000187', '1773286787', 'marcosdasilvasantos@gmail.com', 'Av. Carlos Antunes', '495', 'Mairinque', 'SP');</v>
      </c>
    </row>
    <row r="140" spans="17:19" x14ac:dyDescent="0.25">
      <c r="S140" s="8"/>
    </row>
    <row r="141" spans="17:19" x14ac:dyDescent="0.25">
      <c r="Q141" s="15">
        <f>Q138+1</f>
        <v>55</v>
      </c>
      <c r="R141" s="15">
        <f>R138+1</f>
        <v>44</v>
      </c>
      <c r="S141" s="8" t="str">
        <f>CONCATENATE($S$2,R141)</f>
        <v>-- 44</v>
      </c>
    </row>
    <row r="142" spans="17:19" x14ac:dyDescent="0.25">
      <c r="S142" s="8" t="str">
        <f ca="1">CONCATENATE(
$S$4,
INDIRECT(CONCATENATE("B",Q141)),$S$5,
INDIRECT(CONCATENATE("C",Q141)),$S$5,
INDIRECT(CONCATENATE("D",Q141)),$S$5,
INDIRECT(CONCATENATE("E",Q141)),$S$5,
INDIRECT(CONCATENATE("F",Q141)),$S$5,
INDIRECT(CONCATENATE("G",Q141)),$S$5,
INDIRECT(CONCATENATE("H",Q141)),$S$5,
INDIRECT(CONCATENATE("I",Q141)),$S$7)</f>
        <v>INSERT INTO public.fornecedores(nome, cnpj, telefone, email, rua, numero, cidade, estado) VALUES ('Giovane Matos', '73518555000101', '9686288397', 'giovanematos@gmail.com', 'R. Anderson Andrade Junqueira', '719', 'Sorocaba', 'SP');</v>
      </c>
    </row>
    <row r="143" spans="17:19" x14ac:dyDescent="0.25">
      <c r="S143" s="8"/>
    </row>
    <row r="144" spans="17:19" x14ac:dyDescent="0.25">
      <c r="Q144" s="15">
        <f>Q141+1</f>
        <v>56</v>
      </c>
      <c r="R144" s="15">
        <f>R141+1</f>
        <v>45</v>
      </c>
      <c r="S144" s="8" t="str">
        <f>CONCATENATE($S$2,R144)</f>
        <v>-- 45</v>
      </c>
    </row>
    <row r="145" spans="15:19" x14ac:dyDescent="0.25">
      <c r="S145" s="8" t="str">
        <f ca="1">CONCATENATE(
$S$4,
INDIRECT(CONCATENATE("B",Q144)),$S$5,
INDIRECT(CONCATENATE("C",Q144)),$S$5,
INDIRECT(CONCATENATE("D",Q144)),$S$5,
INDIRECT(CONCATENATE("E",Q144)),$S$5,
INDIRECT(CONCATENATE("F",Q144)),$S$5,
INDIRECT(CONCATENATE("G",Q144)),$S$5,
INDIRECT(CONCATENATE("H",Q144)),$S$5,
INDIRECT(CONCATENATE("I",Q144)),$S$7)</f>
        <v>INSERT INTO public.fornecedores(nome, cnpj, telefone, email, rua, numero, cidade, estado) VALUES ('Guilherme Cardoso', '18902131000120', '2086599707', 'guilhermecardoso@gmail.com', 'R. Prof. Tadeu Fernandes da Albuquerque', '1415', 'Niterói', 'RJ');</v>
      </c>
    </row>
    <row r="146" spans="15:19" x14ac:dyDescent="0.25">
      <c r="S146" s="8"/>
    </row>
    <row r="147" spans="15:19" x14ac:dyDescent="0.25">
      <c r="Q147" s="15">
        <f>Q144+1</f>
        <v>57</v>
      </c>
      <c r="R147" s="15">
        <f>R144+1</f>
        <v>46</v>
      </c>
      <c r="S147" s="8" t="str">
        <f>CONCATENATE($S$2,R147)</f>
        <v>-- 46</v>
      </c>
    </row>
    <row r="148" spans="15:19" x14ac:dyDescent="0.25">
      <c r="S148" s="8" t="str">
        <f ca="1">CONCATENATE(
$S$4,
INDIRECT(CONCATENATE("B",Q147)),$S$5,
INDIRECT(CONCATENATE("C",Q147)),$S$5,
INDIRECT(CONCATENATE("D",Q147)),$S$5,
INDIRECT(CONCATENATE("E",Q147)),$S$5,
INDIRECT(CONCATENATE("F",Q147)),$S$5,
INDIRECT(CONCATENATE("G",Q147)),$S$5,
INDIRECT(CONCATENATE("H",Q147)),$S$5,
INDIRECT(CONCATENATE("I",Q147)),$S$7)</f>
        <v>INSERT INTO public.fornecedores(nome, cnpj, telefone, email, rua, numero, cidade, estado) VALUES ('Lucas Nunes', '93213240000155', '1868415133', 'lucasnunes@gmail.com', 'Pç. Augusto da Albuquerque', '566', 'Petropólis', 'RJ');</v>
      </c>
    </row>
    <row r="149" spans="15:19" x14ac:dyDescent="0.25">
      <c r="S149" s="8"/>
    </row>
    <row r="150" spans="15:19" x14ac:dyDescent="0.25">
      <c r="Q150" s="15">
        <f>Q147+1</f>
        <v>58</v>
      </c>
      <c r="R150" s="15">
        <f>R147+1</f>
        <v>47</v>
      </c>
      <c r="S150" s="8" t="str">
        <f>CONCATENATE($S$2,R150)</f>
        <v>-- 47</v>
      </c>
    </row>
    <row r="151" spans="15:19" x14ac:dyDescent="0.25">
      <c r="O151" s="11"/>
      <c r="P151" s="11"/>
      <c r="Q151" s="11"/>
      <c r="R151" s="11"/>
      <c r="S151" s="8" t="str">
        <f ca="1">CONCATENATE(
$S$4,
INDIRECT(CONCATENATE("B",Q150)),$S$5,
INDIRECT(CONCATENATE("C",Q150)),$S$5,
INDIRECT(CONCATENATE("D",Q150)),$S$5,
INDIRECT(CONCATENATE("E",Q150)),$S$5,
INDIRECT(CONCATENATE("F",Q150)),$S$5,
INDIRECT(CONCATENATE("G",Q150)),$S$5,
INDIRECT(CONCATENATE("H",Q150)),$S$5,
INDIRECT(CONCATENATE("I",Q150)),$S$7)</f>
        <v>INSERT INTO public.fornecedores(nome, cnpj, telefone, email, rua, numero, cidade, estado) VALUES ('Henrique Menezes', '25177374000108', '1694213938', 'henriquemenezes@gmail.com', 'Pç. Carlos Antunes', '386', 'Serra Alta', 'SC');</v>
      </c>
    </row>
    <row r="152" spans="15:19" x14ac:dyDescent="0.25">
      <c r="O152" s="11"/>
      <c r="P152" s="11"/>
      <c r="Q152" s="11"/>
      <c r="R152" s="11"/>
      <c r="S152" s="8"/>
    </row>
    <row r="153" spans="15:19" x14ac:dyDescent="0.25">
      <c r="O153" s="11"/>
      <c r="P153" s="11"/>
      <c r="Q153" s="15">
        <f>Q150+1</f>
        <v>59</v>
      </c>
      <c r="R153" s="15">
        <f>R150+1</f>
        <v>48</v>
      </c>
      <c r="S153" s="8" t="str">
        <f>CONCATENATE($S$2,R153)</f>
        <v>-- 48</v>
      </c>
    </row>
    <row r="154" spans="15:19" x14ac:dyDescent="0.25">
      <c r="O154" s="11"/>
      <c r="P154" s="11"/>
      <c r="Q154" s="11"/>
      <c r="R154" s="11"/>
      <c r="S154" s="8" t="str">
        <f ca="1">CONCATENATE(
$S$4,
INDIRECT(CONCATENATE("B",Q153)),$S$5,
INDIRECT(CONCATENATE("C",Q153)),$S$5,
INDIRECT(CONCATENATE("D",Q153)),$S$5,
INDIRECT(CONCATENATE("E",Q153)),$S$5,
INDIRECT(CONCATENATE("F",Q153)),$S$5,
INDIRECT(CONCATENATE("G",Q153)),$S$5,
INDIRECT(CONCATENATE("H",Q153)),$S$5,
INDIRECT(CONCATENATE("I",Q153)),$S$7)</f>
        <v>INSERT INTO public.fornecedores(nome, cnpj, telefone, email, rua, numero, cidade, estado) VALUES ('Manoel Miranda', '65162886000115', '3691729405', 'manoelmiranda@gmail.com', 'R. Prof. Manoel Miranda', '209', 'Ponta Grossa', 'PR');</v>
      </c>
    </row>
    <row r="155" spans="15:19" x14ac:dyDescent="0.25">
      <c r="O155" s="11"/>
      <c r="P155" s="11"/>
      <c r="Q155" s="11"/>
      <c r="R155" s="11"/>
      <c r="S155" s="8"/>
    </row>
    <row r="156" spans="15:19" x14ac:dyDescent="0.25">
      <c r="O156" s="11"/>
      <c r="P156" s="11"/>
      <c r="Q156" s="15">
        <f>Q153+1</f>
        <v>60</v>
      </c>
      <c r="R156" s="15">
        <f>R153+1</f>
        <v>49</v>
      </c>
      <c r="S156" s="8" t="str">
        <f>CONCATENATE($S$2,R156)</f>
        <v>-- 49</v>
      </c>
    </row>
    <row r="157" spans="15:19" x14ac:dyDescent="0.25">
      <c r="O157" s="11"/>
      <c r="P157" s="11"/>
      <c r="Q157" s="11"/>
      <c r="R157" s="11"/>
      <c r="S157" s="8" t="str">
        <f ca="1">CONCATENATE(
$S$4,
INDIRECT(CONCATENATE("B",Q156)),$S$5,
INDIRECT(CONCATENATE("C",Q156)),$S$5,
INDIRECT(CONCATENATE("D",Q156)),$S$5,
INDIRECT(CONCATENATE("E",Q156)),$S$5,
INDIRECT(CONCATENATE("F",Q156)),$S$5,
INDIRECT(CONCATENATE("G",Q156)),$S$5,
INDIRECT(CONCATENATE("H",Q156)),$S$5,
INDIRECT(CONCATENATE("I",Q156)),$S$7)</f>
        <v>INSERT INTO public.fornecedores(nome, cnpj, telefone, email, rua, numero, cidade, estado) VALUES ('Carlos Eduardo Menezes', '34373351000160', '3824425468', 'carloseduardomenezes@gmail.com', 'R. Anderson Andrade Junqueira', '1305', 'Itamaraca', 'PE');</v>
      </c>
    </row>
    <row r="158" spans="15:19" x14ac:dyDescent="0.25">
      <c r="O158" s="11"/>
      <c r="P158" s="11"/>
      <c r="Q158" s="11"/>
      <c r="R158" s="11"/>
      <c r="S158" s="8"/>
    </row>
    <row r="159" spans="15:19" x14ac:dyDescent="0.25">
      <c r="O159" s="11"/>
      <c r="P159" s="11"/>
      <c r="Q159" s="15">
        <f>Q156+1</f>
        <v>61</v>
      </c>
      <c r="R159" s="15">
        <f>R156+1</f>
        <v>50</v>
      </c>
      <c r="S159" s="8" t="str">
        <f>CONCATENATE($S$2,R159)</f>
        <v>-- 50</v>
      </c>
    </row>
    <row r="160" spans="15:19" x14ac:dyDescent="0.25">
      <c r="O160" s="11"/>
      <c r="P160" s="11"/>
      <c r="Q160" s="11"/>
      <c r="R160" s="11"/>
      <c r="S160" s="8" t="str">
        <f ca="1">CONCATENATE(
$S$4,
INDIRECT(CONCATENATE("B",Q159)),$S$5,
INDIRECT(CONCATENATE("C",Q159)),$S$5,
INDIRECT(CONCATENATE("D",Q159)),$S$5,
INDIRECT(CONCATENATE("E",Q159)),$S$5,
INDIRECT(CONCATENATE("F",Q159)),$S$5,
INDIRECT(CONCATENATE("G",Q159)),$S$5,
INDIRECT(CONCATENATE("H",Q159)),$S$5,
INDIRECT(CONCATENATE("I",Q159)),$S$7)</f>
        <v>INSERT INTO public.fornecedores(nome, cnpj, telefone, email, rua, numero, cidade, estado) VALUES ('Patricia Correia da Albuquerque', '72179542000184', '4733124725', 'patriciacorreiadaalbuquerque@gmail.com', 'Pç. Antônio da Albuquerque Junior', '1342', 'Manaus', 'AM');</v>
      </c>
    </row>
    <row r="161" spans="15:19" x14ac:dyDescent="0.25">
      <c r="O161" s="11"/>
      <c r="P161" s="11"/>
      <c r="Q161" s="11"/>
      <c r="R161" s="11"/>
      <c r="S161" s="11"/>
    </row>
    <row r="162" spans="15:19" x14ac:dyDescent="0.25">
      <c r="O162" s="11"/>
      <c r="P162" s="11"/>
      <c r="Q162" s="11"/>
      <c r="R162" s="11"/>
      <c r="S162" s="11"/>
    </row>
    <row r="163" spans="15:19" x14ac:dyDescent="0.25">
      <c r="O163" s="11"/>
      <c r="P163" s="11"/>
      <c r="Q163" s="11"/>
      <c r="R163" s="11"/>
      <c r="S163" s="11"/>
    </row>
    <row r="164" spans="15:19" x14ac:dyDescent="0.25">
      <c r="O164" s="11"/>
      <c r="P164" s="11"/>
      <c r="Q164" s="11"/>
      <c r="R164" s="11"/>
      <c r="S164" s="11"/>
    </row>
    <row r="165" spans="15:19" x14ac:dyDescent="0.25">
      <c r="O165" s="11"/>
      <c r="P165" s="11"/>
      <c r="Q165" s="11"/>
      <c r="R165" s="11"/>
      <c r="S165" s="11"/>
    </row>
    <row r="166" spans="15:19" x14ac:dyDescent="0.25">
      <c r="S166" s="1"/>
    </row>
    <row r="167" spans="15:19" x14ac:dyDescent="0.25">
      <c r="S167" s="1"/>
    </row>
    <row r="168" spans="15:19" x14ac:dyDescent="0.25">
      <c r="S168" s="1"/>
    </row>
    <row r="169" spans="15:19" x14ac:dyDescent="0.25">
      <c r="S169" s="1"/>
    </row>
    <row r="170" spans="15:19" x14ac:dyDescent="0.25">
      <c r="S170" s="1"/>
    </row>
    <row r="171" spans="15:19" x14ac:dyDescent="0.25">
      <c r="S171" s="1"/>
    </row>
    <row r="172" spans="15:19" x14ac:dyDescent="0.25">
      <c r="S172" s="1"/>
    </row>
    <row r="173" spans="15:19" x14ac:dyDescent="0.25">
      <c r="S173" s="1"/>
    </row>
    <row r="174" spans="15:19" x14ac:dyDescent="0.25">
      <c r="S174" s="1"/>
    </row>
    <row r="175" spans="15:19" x14ac:dyDescent="0.25">
      <c r="S175" s="1"/>
    </row>
    <row r="176" spans="15:19" x14ac:dyDescent="0.25">
      <c r="S176" s="1"/>
    </row>
    <row r="177" spans="19:19" x14ac:dyDescent="0.25">
      <c r="S177" s="1"/>
    </row>
    <row r="178" spans="19:19" x14ac:dyDescent="0.25">
      <c r="S178" s="1"/>
    </row>
    <row r="179" spans="19:19" x14ac:dyDescent="0.25">
      <c r="S179" s="1"/>
    </row>
    <row r="180" spans="19:19" x14ac:dyDescent="0.25">
      <c r="S180" s="1"/>
    </row>
    <row r="181" spans="19:19" x14ac:dyDescent="0.25">
      <c r="S181" s="1"/>
    </row>
    <row r="182" spans="19:19" x14ac:dyDescent="0.25">
      <c r="S182" s="1"/>
    </row>
    <row r="183" spans="19:19" x14ac:dyDescent="0.25">
      <c r="S183" s="1"/>
    </row>
    <row r="184" spans="19:19" x14ac:dyDescent="0.25">
      <c r="S184" s="1"/>
    </row>
    <row r="185" spans="19:19" x14ac:dyDescent="0.25">
      <c r="S185" s="1"/>
    </row>
    <row r="186" spans="19:19" x14ac:dyDescent="0.25">
      <c r="S186" s="1"/>
    </row>
    <row r="187" spans="19:19" x14ac:dyDescent="0.25">
      <c r="S187" s="1"/>
    </row>
    <row r="188" spans="19:19" x14ac:dyDescent="0.25">
      <c r="S188" s="1"/>
    </row>
    <row r="189" spans="19:19" x14ac:dyDescent="0.25">
      <c r="S189" s="1"/>
    </row>
    <row r="190" spans="19:19" x14ac:dyDescent="0.25">
      <c r="S190" s="1"/>
    </row>
    <row r="191" spans="19:19" x14ac:dyDescent="0.25">
      <c r="S191" s="1"/>
    </row>
    <row r="192" spans="19:19" x14ac:dyDescent="0.25">
      <c r="S192" s="1"/>
    </row>
    <row r="193" spans="19:19" x14ac:dyDescent="0.25">
      <c r="S193" s="1"/>
    </row>
    <row r="194" spans="19:19" x14ac:dyDescent="0.25">
      <c r="S194" s="1"/>
    </row>
    <row r="195" spans="19:19" x14ac:dyDescent="0.25">
      <c r="S195" s="1"/>
    </row>
    <row r="196" spans="19:19" x14ac:dyDescent="0.25">
      <c r="S196" s="1"/>
    </row>
    <row r="197" spans="19:19" x14ac:dyDescent="0.25">
      <c r="S197" s="1"/>
    </row>
    <row r="198" spans="19:19" x14ac:dyDescent="0.25">
      <c r="S198" s="1"/>
    </row>
    <row r="199" spans="19:19" x14ac:dyDescent="0.25">
      <c r="S199" s="1"/>
    </row>
    <row r="200" spans="19:19" x14ac:dyDescent="0.25">
      <c r="S200" s="1"/>
    </row>
    <row r="201" spans="19:19" x14ac:dyDescent="0.25">
      <c r="S201" s="1"/>
    </row>
    <row r="202" spans="19:19" x14ac:dyDescent="0.25">
      <c r="S202" s="1"/>
    </row>
    <row r="203" spans="19:19" x14ac:dyDescent="0.25">
      <c r="S203" s="1"/>
    </row>
    <row r="204" spans="19:19" x14ac:dyDescent="0.25">
      <c r="S204" s="1"/>
    </row>
    <row r="205" spans="19:19" x14ac:dyDescent="0.25">
      <c r="S205" s="1"/>
    </row>
    <row r="206" spans="19:19" x14ac:dyDescent="0.25">
      <c r="S206" s="1"/>
    </row>
    <row r="207" spans="19:19" x14ac:dyDescent="0.25">
      <c r="S207" s="1"/>
    </row>
    <row r="208" spans="19:19" x14ac:dyDescent="0.25">
      <c r="S208" s="1"/>
    </row>
    <row r="209" spans="19:19" x14ac:dyDescent="0.25">
      <c r="S209" s="1"/>
    </row>
    <row r="210" spans="19:19" x14ac:dyDescent="0.25">
      <c r="S210" s="1"/>
    </row>
    <row r="211" spans="19:19" x14ac:dyDescent="0.25">
      <c r="S211" s="1"/>
    </row>
    <row r="212" spans="19:19" x14ac:dyDescent="0.25">
      <c r="S212" s="1"/>
    </row>
    <row r="213" spans="19:19" x14ac:dyDescent="0.25">
      <c r="S213" s="1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3" tint="0.59999389629810485"/>
  </sheetPr>
  <dimension ref="A2:U213"/>
  <sheetViews>
    <sheetView showGridLines="0" topLeftCell="F1" zoomScale="85" zoomScaleNormal="85" workbookViewId="0">
      <selection activeCell="G12" sqref="G12"/>
    </sheetView>
  </sheetViews>
  <sheetFormatPr defaultRowHeight="15" x14ac:dyDescent="0.25"/>
  <cols>
    <col min="1" max="1" width="9.140625" style="1"/>
    <col min="2" max="2" width="44.28515625" style="5" customWidth="1"/>
    <col min="3" max="3" width="16.42578125" style="1" customWidth="1"/>
    <col min="4" max="4" width="15" style="1" customWidth="1"/>
    <col min="5" max="5" width="42.85546875" style="1" customWidth="1"/>
    <col min="6" max="6" width="35.5703125" style="1" customWidth="1"/>
    <col min="7" max="7" width="9.28515625" style="1" customWidth="1"/>
    <col min="8" max="8" width="14.140625" style="1" customWidth="1"/>
    <col min="9" max="9" width="12.28515625" style="1" customWidth="1"/>
    <col min="10" max="10" width="1.7109375" style="1" customWidth="1"/>
    <col min="11" max="11" width="10.42578125" style="1" customWidth="1"/>
    <col min="12" max="12" width="13.5703125" style="1" customWidth="1"/>
    <col min="13" max="13" width="1.7109375" style="1" customWidth="1"/>
    <col min="14" max="14" width="11.85546875" style="1" customWidth="1"/>
    <col min="15" max="18" width="9.140625" style="1"/>
    <col min="19" max="19" width="255.7109375" style="5" customWidth="1"/>
    <col min="20" max="16384" width="9.140625" style="1"/>
  </cols>
  <sheetData>
    <row r="2" spans="1:19" x14ac:dyDescent="0.25">
      <c r="B2" s="5" t="s">
        <v>115</v>
      </c>
      <c r="F2" s="6" t="s">
        <v>116</v>
      </c>
      <c r="S2" s="13" t="s">
        <v>106</v>
      </c>
    </row>
    <row r="3" spans="1:19" x14ac:dyDescent="0.25">
      <c r="B3" s="5" t="s">
        <v>193</v>
      </c>
      <c r="S3" s="14"/>
    </row>
    <row r="4" spans="1:19" x14ac:dyDescent="0.25">
      <c r="B4" s="5" t="s">
        <v>194</v>
      </c>
      <c r="F4" s="16" t="s">
        <v>119</v>
      </c>
      <c r="S4" s="14" t="s">
        <v>195</v>
      </c>
    </row>
    <row r="5" spans="1:19" x14ac:dyDescent="0.25">
      <c r="F5" s="16" t="s">
        <v>121</v>
      </c>
      <c r="S5" s="13" t="s">
        <v>111</v>
      </c>
    </row>
    <row r="6" spans="1:19" x14ac:dyDescent="0.25">
      <c r="F6" s="16" t="s">
        <v>122</v>
      </c>
      <c r="S6" s="13" t="s">
        <v>110</v>
      </c>
    </row>
    <row r="7" spans="1:19" x14ac:dyDescent="0.25">
      <c r="F7" s="16" t="s">
        <v>123</v>
      </c>
      <c r="S7" s="13" t="s">
        <v>112</v>
      </c>
    </row>
    <row r="8" spans="1:19" x14ac:dyDescent="0.25">
      <c r="S8" s="14">
        <v>123</v>
      </c>
    </row>
    <row r="10" spans="1:19" ht="24" customHeight="1" x14ac:dyDescent="0.25">
      <c r="A10" s="6" t="s">
        <v>3</v>
      </c>
      <c r="B10" s="6" t="s">
        <v>1</v>
      </c>
      <c r="C10" s="6" t="s">
        <v>192</v>
      </c>
      <c r="D10" s="6" t="s">
        <v>125</v>
      </c>
      <c r="E10" s="6" t="s">
        <v>126</v>
      </c>
      <c r="F10" s="6" t="s">
        <v>127</v>
      </c>
      <c r="G10" s="6" t="s">
        <v>128</v>
      </c>
      <c r="H10" s="6" t="s">
        <v>129</v>
      </c>
      <c r="I10" s="6" t="s">
        <v>130</v>
      </c>
      <c r="K10" s="6" t="s">
        <v>131</v>
      </c>
      <c r="L10" s="6" t="s">
        <v>132</v>
      </c>
      <c r="N10" s="6" t="s">
        <v>133</v>
      </c>
      <c r="S10" s="6" t="s">
        <v>113</v>
      </c>
    </row>
    <row r="11" spans="1:19" customFormat="1" ht="6.75" customHeight="1" x14ac:dyDescent="0.25">
      <c r="C11" s="17"/>
      <c r="D11" s="17"/>
      <c r="E11" s="17"/>
      <c r="F11" s="17"/>
      <c r="G11" s="17"/>
      <c r="H11" s="17"/>
      <c r="I11" s="17"/>
      <c r="S11" s="2"/>
    </row>
    <row r="12" spans="1:19" x14ac:dyDescent="0.25">
      <c r="A12" s="7">
        <v>1</v>
      </c>
      <c r="B12" s="3" t="s">
        <v>185</v>
      </c>
      <c r="C12" s="18">
        <v>65175258023</v>
      </c>
      <c r="D12" s="10">
        <v>2894169211</v>
      </c>
      <c r="E12" s="10" t="str">
        <f>CONCATENATE(LOWER(SUBSTITUTE(Fornecedores!B12," ","")),"@gmail.com")</f>
        <v>mariocardosodemelo@gmail.com</v>
      </c>
      <c r="F12" s="10" t="str">
        <f t="shared" ref="F12:F43" ca="1" si="0">CONCATENATE(
INDIRECT(  CONCATENATE("F", RANDBETWEEN(4,7))  ),
INDIRECT(  CONCATENATE("B", RANDBETWEEN(12,61)))
)</f>
        <v>Pç. Giovane Matos</v>
      </c>
      <c r="G12" s="10">
        <f t="shared" ref="G12:G43" ca="1" si="1">RANDBETWEEN(50,1500)</f>
        <v>1481</v>
      </c>
      <c r="H12" s="10" t="s">
        <v>135</v>
      </c>
      <c r="I12" s="10" t="s">
        <v>136</v>
      </c>
      <c r="K12" s="10" t="str">
        <f t="shared" ref="K12:K61" si="2">IF(COUNTIF($C$12:$C$61,C12)&gt;1,COUNTIF($C$12:$C$61,C12),"-")</f>
        <v>-</v>
      </c>
      <c r="L12" s="10" t="str">
        <f>IF(LEN(C12) = 11, "-", LEN(C12))</f>
        <v>-</v>
      </c>
      <c r="N12" s="10" t="str">
        <f t="shared" ref="N12:N61" si="3">IF(LEN(D12) = 10, "-", LEN(D12))</f>
        <v>-</v>
      </c>
      <c r="Q12" s="15">
        <v>12</v>
      </c>
      <c r="R12" s="15">
        <v>1</v>
      </c>
      <c r="S12" s="8" t="str">
        <f>CONCATENATE($S$2,R12)</f>
        <v>-- 1</v>
      </c>
    </row>
    <row r="13" spans="1:19" x14ac:dyDescent="0.25">
      <c r="A13" s="7">
        <v>2</v>
      </c>
      <c r="B13" s="4" t="s">
        <v>186</v>
      </c>
      <c r="C13" s="19">
        <v>35542752817</v>
      </c>
      <c r="D13" s="9">
        <v>1723536062</v>
      </c>
      <c r="E13" s="9" t="str">
        <f>CONCATENATE(LOWER(SUBSTITUTE(Fornecedores!B13," ","")),"@gmail.com")</f>
        <v>luizcarlosdecampos@gmail.com</v>
      </c>
      <c r="F13" s="9" t="str">
        <f t="shared" ca="1" si="0"/>
        <v>Av. Eduardo Ferreira</v>
      </c>
      <c r="G13" s="9">
        <f t="shared" ca="1" si="1"/>
        <v>317</v>
      </c>
      <c r="H13" s="9" t="s">
        <v>138</v>
      </c>
      <c r="I13" s="9" t="s">
        <v>136</v>
      </c>
      <c r="K13" s="9" t="str">
        <f t="shared" si="2"/>
        <v>-</v>
      </c>
      <c r="L13" s="9" t="str">
        <f t="shared" ref="L13:L61" si="4">IF(LEN(C13) = 11, "-", LEN(C13))</f>
        <v>-</v>
      </c>
      <c r="N13" s="9" t="str">
        <f t="shared" si="3"/>
        <v>-</v>
      </c>
      <c r="S13" s="8" t="str">
        <f ca="1">CONCATENATE(
$S$4,
INDIRECT(CONCATENATE("B",Q12)),$S$5,
INDIRECT(CONCATENATE("C",Q12)),$S$5,
INDIRECT(CONCATENATE("D",Q12)),$S$5,
INDIRECT(CONCATENATE("E",Q12)),$S$5,
INDIRECT(CONCATENATE("F",Q12)),$S$5,
INDIRECT(CONCATENATE("G",Q12)),$S$5,
INDIRECT(CONCATENATE("H",Q12)),$S$5,
INDIRECT(CONCATENATE("I",Q12)),$S$7)</f>
        <v>INSERT INTO public.clientes(nome, cpf, telefone, email, rua, numero, cidade, estado) VALUES ('Tadeu Fernandes da Albuquerque', '65175258023', '2894169211', 'mariocardosodemelo@gmail.com', 'Pç. Giovane Matos', '1481', 'Sorocaba', 'SP');</v>
      </c>
    </row>
    <row r="14" spans="1:19" x14ac:dyDescent="0.25">
      <c r="A14" s="7">
        <v>3</v>
      </c>
      <c r="B14" s="3" t="s">
        <v>187</v>
      </c>
      <c r="C14" s="18">
        <v>20163037891</v>
      </c>
      <c r="D14" s="10">
        <v>5419724524</v>
      </c>
      <c r="E14" s="10" t="str">
        <f>CONCATENATE(LOWER(SUBSTITUTE(Fornecedores!B14," ","")),"@gmail.com")</f>
        <v>henriquesouza@gmail.com</v>
      </c>
      <c r="F14" s="10" t="str">
        <f t="shared" ca="1" si="0"/>
        <v>Av. Wellington Henrique</v>
      </c>
      <c r="G14" s="10">
        <f t="shared" ca="1" si="1"/>
        <v>451</v>
      </c>
      <c r="H14" s="10" t="s">
        <v>140</v>
      </c>
      <c r="I14" s="10" t="s">
        <v>141</v>
      </c>
      <c r="K14" s="10" t="str">
        <f t="shared" si="2"/>
        <v>-</v>
      </c>
      <c r="L14" s="10" t="str">
        <f t="shared" si="4"/>
        <v>-</v>
      </c>
      <c r="N14" s="10" t="str">
        <f t="shared" si="3"/>
        <v>-</v>
      </c>
      <c r="S14" s="8"/>
    </row>
    <row r="15" spans="1:19" x14ac:dyDescent="0.25">
      <c r="A15" s="7">
        <v>4</v>
      </c>
      <c r="B15" s="4" t="s">
        <v>188</v>
      </c>
      <c r="C15" s="19">
        <v>44777314855</v>
      </c>
      <c r="D15" s="9">
        <v>1960148472</v>
      </c>
      <c r="E15" s="9" t="str">
        <f>CONCATENATE(LOWER(SUBSTITUTE(Fornecedores!B15," ","")),"@gmail.com")</f>
        <v>josepinheirodemelo@gmail.com</v>
      </c>
      <c r="F15" s="9" t="str">
        <f t="shared" ca="1" si="0"/>
        <v>Av. Nicolas Vieira</v>
      </c>
      <c r="G15" s="9">
        <f t="shared" ca="1" si="1"/>
        <v>614</v>
      </c>
      <c r="H15" s="9" t="s">
        <v>142</v>
      </c>
      <c r="I15" s="9" t="s">
        <v>141</v>
      </c>
      <c r="K15" s="9" t="str">
        <f t="shared" si="2"/>
        <v>-</v>
      </c>
      <c r="L15" s="9" t="str">
        <f t="shared" si="4"/>
        <v>-</v>
      </c>
      <c r="N15" s="9" t="str">
        <f t="shared" si="3"/>
        <v>-</v>
      </c>
      <c r="Q15" s="15">
        <f>Q12+1</f>
        <v>13</v>
      </c>
      <c r="R15" s="15">
        <f>R12+1</f>
        <v>2</v>
      </c>
      <c r="S15" s="8" t="str">
        <f t="shared" ref="S15" si="5">CONCATENATE($S$2,R15)</f>
        <v>-- 2</v>
      </c>
    </row>
    <row r="16" spans="1:19" x14ac:dyDescent="0.25">
      <c r="A16" s="7">
        <v>5</v>
      </c>
      <c r="B16" s="3" t="s">
        <v>41</v>
      </c>
      <c r="C16" s="18">
        <v>42680038860</v>
      </c>
      <c r="D16" s="10">
        <v>1907835027</v>
      </c>
      <c r="E16" s="10" t="str">
        <f>CONCATENATE(LOWER(SUBSTITUTE(Fornecedores!B16," ","")),"@gmail.com")</f>
        <v>vicentedoamaralneto@gmail.com</v>
      </c>
      <c r="F16" s="10" t="str">
        <f t="shared" ca="1" si="0"/>
        <v>R. Prof. Augusto da Albuquerque</v>
      </c>
      <c r="G16" s="10">
        <f t="shared" ca="1" si="1"/>
        <v>1160</v>
      </c>
      <c r="H16" s="10" t="s">
        <v>144</v>
      </c>
      <c r="I16" s="10" t="s">
        <v>145</v>
      </c>
      <c r="K16" s="10" t="str">
        <f t="shared" si="2"/>
        <v>-</v>
      </c>
      <c r="L16" s="10" t="str">
        <f t="shared" si="4"/>
        <v>-</v>
      </c>
      <c r="N16" s="10" t="str">
        <f t="shared" si="3"/>
        <v>-</v>
      </c>
      <c r="S16" s="8" t="str">
        <f ca="1">CONCATENATE(
$S$4,
INDIRECT(CONCATENATE("B",Q15)),$S$5,
INDIRECT(CONCATENATE("C",Q15)),$S$5,
INDIRECT(CONCATENATE("D",Q15)),$S$5,
INDIRECT(CONCATENATE("E",Q15)),$S$5,
INDIRECT(CONCATENATE("F",Q15)),$S$5,
INDIRECT(CONCATENATE("G",Q15)),$S$5,
INDIRECT(CONCATENATE("H",Q15)),$S$5,
INDIRECT(CONCATENATE("I",Q15)),$S$7)</f>
        <v>INSERT INTO public.clientes(nome, cpf, telefone, email, rua, numero, cidade, estado) VALUES ('Maria Arruda', '35542752817', '1723536062', 'luizcarlosdecampos@gmail.com', 'Av. Eduardo Ferreira', '317', 'Pilar do Sul', 'SP');</v>
      </c>
    </row>
    <row r="17" spans="1:21" x14ac:dyDescent="0.25">
      <c r="A17" s="7">
        <v>6</v>
      </c>
      <c r="B17" s="4" t="s">
        <v>42</v>
      </c>
      <c r="C17" s="19">
        <v>52756833835</v>
      </c>
      <c r="D17" s="9">
        <v>2383272903</v>
      </c>
      <c r="E17" s="9" t="str">
        <f>CONCATENATE(LOWER(SUBSTITUTE(Fornecedores!B17," ","")),"@gmail.com")</f>
        <v>marisapereira@gmail.com</v>
      </c>
      <c r="F17" s="9" t="str">
        <f t="shared" ca="1" si="0"/>
        <v>R. Prof. Mauro Andrade</v>
      </c>
      <c r="G17" s="9">
        <f t="shared" ca="1" si="1"/>
        <v>597</v>
      </c>
      <c r="H17" s="9" t="s">
        <v>146</v>
      </c>
      <c r="I17" s="9" t="s">
        <v>147</v>
      </c>
      <c r="K17" s="9" t="str">
        <f t="shared" si="2"/>
        <v>-</v>
      </c>
      <c r="L17" s="9" t="str">
        <f t="shared" si="4"/>
        <v>-</v>
      </c>
      <c r="N17" s="9" t="str">
        <f t="shared" si="3"/>
        <v>-</v>
      </c>
      <c r="S17" s="8"/>
    </row>
    <row r="18" spans="1:21" x14ac:dyDescent="0.25">
      <c r="A18" s="7">
        <v>7</v>
      </c>
      <c r="B18" s="3" t="s">
        <v>43</v>
      </c>
      <c r="C18" s="18">
        <v>21233922866</v>
      </c>
      <c r="D18" s="10">
        <v>5124543524</v>
      </c>
      <c r="E18" s="10" t="str">
        <f>CONCATENATE(LOWER(SUBSTITUTE(Fornecedores!B18," ","")),"@gmail.com")</f>
        <v>andersonandradejunqueira@gmail.com</v>
      </c>
      <c r="F18" s="10" t="str">
        <f t="shared" ca="1" si="0"/>
        <v>Pç. Thais Pereira</v>
      </c>
      <c r="G18" s="10">
        <f t="shared" ca="1" si="1"/>
        <v>734</v>
      </c>
      <c r="H18" s="10" t="s">
        <v>148</v>
      </c>
      <c r="I18" s="10" t="s">
        <v>149</v>
      </c>
      <c r="K18" s="10" t="str">
        <f t="shared" si="2"/>
        <v>-</v>
      </c>
      <c r="L18" s="10" t="str">
        <f t="shared" si="4"/>
        <v>-</v>
      </c>
      <c r="N18" s="10" t="str">
        <f t="shared" si="3"/>
        <v>-</v>
      </c>
      <c r="Q18" s="15">
        <f t="shared" ref="Q18:R18" si="6">Q15+1</f>
        <v>14</v>
      </c>
      <c r="R18" s="15">
        <f t="shared" si="6"/>
        <v>3</v>
      </c>
      <c r="S18" s="8" t="str">
        <f t="shared" ref="S18" si="7">CONCATENATE($S$2,R18)</f>
        <v>-- 3</v>
      </c>
    </row>
    <row r="19" spans="1:21" x14ac:dyDescent="0.25">
      <c r="A19" s="7">
        <v>8</v>
      </c>
      <c r="B19" s="4" t="s">
        <v>44</v>
      </c>
      <c r="C19" s="19">
        <v>11451698780</v>
      </c>
      <c r="D19" s="9">
        <v>4508723961</v>
      </c>
      <c r="E19" s="9" t="str">
        <f>CONCATENATE(LOWER(SUBSTITUTE(Fornecedores!B19," ","")),"@gmail.com")</f>
        <v>danieladacostarodrigues@gmail.com</v>
      </c>
      <c r="F19" s="9" t="str">
        <f t="shared" ca="1" si="0"/>
        <v>R. Prof. Thais Pereira</v>
      </c>
      <c r="G19" s="9">
        <f t="shared" ca="1" si="1"/>
        <v>760</v>
      </c>
      <c r="H19" s="9" t="s">
        <v>150</v>
      </c>
      <c r="I19" s="9" t="s">
        <v>151</v>
      </c>
      <c r="K19" s="9" t="str">
        <f t="shared" si="2"/>
        <v>-</v>
      </c>
      <c r="L19" s="9" t="str">
        <f t="shared" si="4"/>
        <v>-</v>
      </c>
      <c r="N19" s="9" t="str">
        <f t="shared" si="3"/>
        <v>-</v>
      </c>
      <c r="S19" s="8" t="str">
        <f ca="1">CONCATENATE(
$S$4,
INDIRECT(CONCATENATE("B",Q18)),$S$5,
INDIRECT(CONCATENATE("C",Q18)),$S$5,
INDIRECT(CONCATENATE("D",Q18)),$S$5,
INDIRECT(CONCATENATE("E",Q18)),$S$5,
INDIRECT(CONCATENATE("F",Q18)),$S$5,
INDIRECT(CONCATENATE("G",Q18)),$S$5,
INDIRECT(CONCATENATE("H",Q18)),$S$5,
INDIRECT(CONCATENATE("I",Q18)),$S$7)</f>
        <v>INSERT INTO public.clientes(nome, cpf, telefone, email, rua, numero, cidade, estado) VALUES ('Giovana Pereira', '20163037891', '5419724524', 'henriquesouza@gmail.com', 'Av. Wellington Henrique', '451', 'Rio de Janeiro', 'RJ');</v>
      </c>
      <c r="U19" s="11"/>
    </row>
    <row r="20" spans="1:21" x14ac:dyDescent="0.25">
      <c r="A20" s="7">
        <v>9</v>
      </c>
      <c r="B20" s="3" t="s">
        <v>45</v>
      </c>
      <c r="C20" s="18">
        <v>74696055841</v>
      </c>
      <c r="D20" s="10">
        <v>9332453969</v>
      </c>
      <c r="E20" s="10" t="str">
        <f>CONCATENATE(LOWER(SUBSTITUTE(Fornecedores!B20," ","")),"@gmail.com")</f>
        <v>antôniodaalbuquerquejunior@gmail.com</v>
      </c>
      <c r="F20" s="10" t="str">
        <f t="shared" ca="1" si="0"/>
        <v>Pç. Roberta da Silva Santos</v>
      </c>
      <c r="G20" s="10">
        <f t="shared" ca="1" si="1"/>
        <v>1347</v>
      </c>
      <c r="H20" s="10" t="s">
        <v>153</v>
      </c>
      <c r="I20" s="10" t="s">
        <v>154</v>
      </c>
      <c r="K20" s="10" t="str">
        <f t="shared" si="2"/>
        <v>-</v>
      </c>
      <c r="L20" s="10" t="str">
        <f t="shared" si="4"/>
        <v>-</v>
      </c>
      <c r="N20" s="10" t="str">
        <f t="shared" si="3"/>
        <v>-</v>
      </c>
      <c r="S20" s="8"/>
    </row>
    <row r="21" spans="1:21" x14ac:dyDescent="0.25">
      <c r="A21" s="7">
        <v>10</v>
      </c>
      <c r="B21" s="4" t="s">
        <v>46</v>
      </c>
      <c r="C21" s="19">
        <v>48577684881</v>
      </c>
      <c r="D21" s="9">
        <v>4409845947</v>
      </c>
      <c r="E21" s="9" t="str">
        <f>CONCATENATE(LOWER(SUBSTITUTE(Fornecedores!B21," ","")),"@gmail.com")</f>
        <v>carloscorreiadaalbuquerque@gmail.com</v>
      </c>
      <c r="F21" s="9" t="str">
        <f t="shared" ca="1" si="0"/>
        <v>R. Maria Arruda</v>
      </c>
      <c r="G21" s="9">
        <f t="shared" ca="1" si="1"/>
        <v>1373</v>
      </c>
      <c r="H21" s="9" t="s">
        <v>156</v>
      </c>
      <c r="I21" s="9" t="s">
        <v>157</v>
      </c>
      <c r="K21" s="9" t="str">
        <f t="shared" si="2"/>
        <v>-</v>
      </c>
      <c r="L21" s="9" t="str">
        <f t="shared" si="4"/>
        <v>-</v>
      </c>
      <c r="N21" s="9" t="str">
        <f t="shared" si="3"/>
        <v>-</v>
      </c>
      <c r="Q21" s="15">
        <f t="shared" ref="Q21:R21" si="8">Q18+1</f>
        <v>15</v>
      </c>
      <c r="R21" s="15">
        <f t="shared" si="8"/>
        <v>4</v>
      </c>
      <c r="S21" s="8" t="str">
        <f t="shared" ref="S21" si="9">CONCATENATE($S$2,R21)</f>
        <v>-- 4</v>
      </c>
    </row>
    <row r="22" spans="1:21" x14ac:dyDescent="0.25">
      <c r="A22" s="7">
        <v>11</v>
      </c>
      <c r="B22" s="3" t="s">
        <v>189</v>
      </c>
      <c r="C22" s="18">
        <v>92416263307</v>
      </c>
      <c r="D22" s="10">
        <v>3626873816</v>
      </c>
      <c r="E22" s="10" t="str">
        <f>CONCATENATE(LOWER(SUBSTITUTE(Fornecedores!B22," ","")),"@gmail.com")</f>
        <v>henriquecamargo@gmail.com</v>
      </c>
      <c r="F22" s="10" t="str">
        <f t="shared" ca="1" si="0"/>
        <v>R. Marcos da Silva Santos</v>
      </c>
      <c r="G22" s="10">
        <f t="shared" ca="1" si="1"/>
        <v>691</v>
      </c>
      <c r="H22" s="10" t="s">
        <v>159</v>
      </c>
      <c r="I22" s="10" t="s">
        <v>160</v>
      </c>
      <c r="K22" s="10" t="str">
        <f t="shared" si="2"/>
        <v>-</v>
      </c>
      <c r="L22" s="10" t="str">
        <f t="shared" si="4"/>
        <v>-</v>
      </c>
      <c r="N22" s="10" t="str">
        <f t="shared" si="3"/>
        <v>-</v>
      </c>
      <c r="S22" s="8" t="str">
        <f ca="1">CONCATENATE(
$S$4,
INDIRECT(CONCATENATE("B",Q21)),$S$5,
INDIRECT(CONCATENATE("C",Q21)),$S$5,
INDIRECT(CONCATENATE("D",Q21)),$S$5,
INDIRECT(CONCATENATE("E",Q21)),$S$5,
INDIRECT(CONCATENATE("F",Q21)),$S$5,
INDIRECT(CONCATENATE("G",Q21)),$S$5,
INDIRECT(CONCATENATE("H",Q21)),$S$5,
INDIRECT(CONCATENATE("I",Q21)),$S$7)</f>
        <v>INSERT INTO public.clientes(nome, cpf, telefone, email, rua, numero, cidade, estado) VALUES ('Roberta da Silva Santos', '44777314855', '1960148472', 'josepinheirodemelo@gmail.com', 'Av. Nicolas Vieira', '614', 'Nova Iguaçu', 'RJ');</v>
      </c>
    </row>
    <row r="23" spans="1:21" x14ac:dyDescent="0.25">
      <c r="A23" s="7">
        <v>12</v>
      </c>
      <c r="B23" s="4" t="s">
        <v>48</v>
      </c>
      <c r="C23" s="19">
        <v>40580248879</v>
      </c>
      <c r="D23" s="9">
        <v>5726231974</v>
      </c>
      <c r="E23" s="9" t="str">
        <f>CONCATENATE(LOWER(SUBSTITUTE(Fornecedores!B23," ","")),"@gmail.com")</f>
        <v>augustodemelo@gmail.com</v>
      </c>
      <c r="F23" s="9" t="str">
        <f t="shared" ca="1" si="0"/>
        <v>Av. Priscila Camargo de Melo</v>
      </c>
      <c r="G23" s="9">
        <f t="shared" ca="1" si="1"/>
        <v>490</v>
      </c>
      <c r="H23" s="9" t="s">
        <v>161</v>
      </c>
      <c r="I23" s="9" t="s">
        <v>162</v>
      </c>
      <c r="K23" s="9" t="str">
        <f t="shared" si="2"/>
        <v>-</v>
      </c>
      <c r="L23" s="9" t="str">
        <f t="shared" si="4"/>
        <v>-</v>
      </c>
      <c r="N23" s="9" t="str">
        <f t="shared" si="3"/>
        <v>-</v>
      </c>
      <c r="S23" s="8"/>
    </row>
    <row r="24" spans="1:21" x14ac:dyDescent="0.25">
      <c r="A24" s="7">
        <v>13</v>
      </c>
      <c r="B24" s="3" t="s">
        <v>49</v>
      </c>
      <c r="C24" s="18">
        <v>22140945808</v>
      </c>
      <c r="D24" s="10">
        <v>8534561825</v>
      </c>
      <c r="E24" s="10" t="str">
        <f>CONCATENATE(LOWER(SUBSTITUTE(Fornecedores!B24," ","")),"@gmail.com")</f>
        <v>antôniorabelo@gmail.com</v>
      </c>
      <c r="F24" s="10" t="str">
        <f t="shared" ca="1" si="0"/>
        <v>R. Henrique Camargo</v>
      </c>
      <c r="G24" s="10">
        <f t="shared" ca="1" si="1"/>
        <v>332</v>
      </c>
      <c r="H24" s="10" t="s">
        <v>163</v>
      </c>
      <c r="I24" s="10" t="s">
        <v>164</v>
      </c>
      <c r="K24" s="10" t="str">
        <f t="shared" si="2"/>
        <v>-</v>
      </c>
      <c r="L24" s="10" t="str">
        <f t="shared" si="4"/>
        <v>-</v>
      </c>
      <c r="N24" s="10" t="str">
        <f t="shared" si="3"/>
        <v>-</v>
      </c>
      <c r="Q24" s="15">
        <f t="shared" ref="Q24:R24" si="10">Q21+1</f>
        <v>16</v>
      </c>
      <c r="R24" s="15">
        <f t="shared" si="10"/>
        <v>5</v>
      </c>
      <c r="S24" s="8" t="str">
        <f t="shared" ref="S24" si="11">CONCATENATE($S$2,R24)</f>
        <v>-- 5</v>
      </c>
    </row>
    <row r="25" spans="1:21" x14ac:dyDescent="0.25">
      <c r="A25" s="7">
        <v>14</v>
      </c>
      <c r="B25" s="4" t="s">
        <v>50</v>
      </c>
      <c r="C25" s="19">
        <v>94985752827</v>
      </c>
      <c r="D25" s="9">
        <v>7025966914</v>
      </c>
      <c r="E25" s="9" t="str">
        <f>CONCATENATE(LOWER(SUBSTITUTE(Fornecedores!B25," ","")),"@gmail.com")</f>
        <v>augustodaalbuquerque@gmail.com</v>
      </c>
      <c r="F25" s="9" t="str">
        <f t="shared" ca="1" si="0"/>
        <v>Pç. Patricia Correia da Albuquerque</v>
      </c>
      <c r="G25" s="9">
        <f t="shared" ca="1" si="1"/>
        <v>758</v>
      </c>
      <c r="H25" s="9" t="s">
        <v>166</v>
      </c>
      <c r="I25" s="9" t="s">
        <v>167</v>
      </c>
      <c r="K25" s="9" t="str">
        <f t="shared" si="2"/>
        <v>-</v>
      </c>
      <c r="L25" s="9" t="str">
        <f t="shared" si="4"/>
        <v>-</v>
      </c>
      <c r="N25" s="9" t="str">
        <f t="shared" si="3"/>
        <v>-</v>
      </c>
      <c r="S25" s="8" t="str">
        <f ca="1">CONCATENATE(
$S$4,
INDIRECT(CONCATENATE("B",Q24)),$S$5,
INDIRECT(CONCATENATE("C",Q24)),$S$5,
INDIRECT(CONCATENATE("D",Q24)),$S$5,
INDIRECT(CONCATENATE("E",Q24)),$S$5,
INDIRECT(CONCATENATE("F",Q24)),$S$5,
INDIRECT(CONCATENATE("G",Q24)),$S$5,
INDIRECT(CONCATENATE("H",Q24)),$S$5,
INDIRECT(CONCATENATE("I",Q24)),$S$7)</f>
        <v>INSERT INTO public.clientes(nome, cpf, telefone, email, rua, numero, cidade, estado) VALUES ('Rodrigo Souza', '42680038860', '1907835027', 'vicentedoamaralneto@gmail.com', 'R. Prof. Augusto da Albuquerque', '1160', 'Blumenau', 'SC');</v>
      </c>
    </row>
    <row r="26" spans="1:21" x14ac:dyDescent="0.25">
      <c r="A26" s="7">
        <v>15</v>
      </c>
      <c r="B26" s="3" t="s">
        <v>190</v>
      </c>
      <c r="C26" s="18">
        <v>68467291869</v>
      </c>
      <c r="D26" s="10">
        <v>1261340903</v>
      </c>
      <c r="E26" s="10" t="str">
        <f>CONCATENATE(LOWER(SUBSTITUTE(Fornecedores!B26," ","")),"@gmail.com")</f>
        <v>nicolasvieira@gmail.com</v>
      </c>
      <c r="F26" s="10" t="str">
        <f t="shared" ca="1" si="0"/>
        <v>R. Eduardo Ferreira</v>
      </c>
      <c r="G26" s="10">
        <f t="shared" ca="1" si="1"/>
        <v>756</v>
      </c>
      <c r="H26" s="10" t="s">
        <v>168</v>
      </c>
      <c r="I26" s="10" t="s">
        <v>136</v>
      </c>
      <c r="K26" s="10" t="str">
        <f t="shared" si="2"/>
        <v>-</v>
      </c>
      <c r="L26" s="10" t="str">
        <f t="shared" si="4"/>
        <v>-</v>
      </c>
      <c r="N26" s="10" t="str">
        <f t="shared" si="3"/>
        <v>-</v>
      </c>
      <c r="S26" s="8"/>
    </row>
    <row r="27" spans="1:21" x14ac:dyDescent="0.25">
      <c r="A27" s="7">
        <v>16</v>
      </c>
      <c r="B27" s="4" t="s">
        <v>52</v>
      </c>
      <c r="C27" s="19">
        <v>92993330845</v>
      </c>
      <c r="D27" s="9">
        <v>6063523786</v>
      </c>
      <c r="E27" s="9" t="str">
        <f>CONCATENATE(LOWER(SUBSTITUTE(Fornecedores!B27," ","")),"@gmail.com")</f>
        <v>mauroandrade@gmail.com</v>
      </c>
      <c r="F27" s="9" t="str">
        <f t="shared" ca="1" si="0"/>
        <v>Av. Marisa Pereira</v>
      </c>
      <c r="G27" s="9">
        <f t="shared" ca="1" si="1"/>
        <v>846</v>
      </c>
      <c r="H27" s="9" t="s">
        <v>135</v>
      </c>
      <c r="I27" s="9" t="s">
        <v>136</v>
      </c>
      <c r="K27" s="9" t="str">
        <f t="shared" si="2"/>
        <v>-</v>
      </c>
      <c r="L27" s="9" t="str">
        <f t="shared" si="4"/>
        <v>-</v>
      </c>
      <c r="N27" s="9" t="str">
        <f t="shared" si="3"/>
        <v>-</v>
      </c>
      <c r="Q27" s="15">
        <f t="shared" ref="Q27:R27" si="12">Q24+1</f>
        <v>17</v>
      </c>
      <c r="R27" s="15">
        <f t="shared" si="12"/>
        <v>6</v>
      </c>
      <c r="S27" s="8" t="str">
        <f t="shared" ref="S27" si="13">CONCATENATE($S$2,R27)</f>
        <v>-- 6</v>
      </c>
    </row>
    <row r="28" spans="1:21" x14ac:dyDescent="0.25">
      <c r="A28" s="7">
        <v>17</v>
      </c>
      <c r="B28" s="3" t="s">
        <v>53</v>
      </c>
      <c r="C28" s="18">
        <v>61870420853</v>
      </c>
      <c r="D28" s="10">
        <v>4265698951</v>
      </c>
      <c r="E28" s="10" t="str">
        <f>CONCATENATE(LOWER(SUBSTITUTE(Fornecedores!B28," ","")),"@gmail.com")</f>
        <v>robertosouza@gmail.com</v>
      </c>
      <c r="F28" s="10" t="str">
        <f t="shared" ca="1" si="0"/>
        <v>Pç. Giovane Matos</v>
      </c>
      <c r="G28" s="10">
        <f t="shared" ca="1" si="1"/>
        <v>772</v>
      </c>
      <c r="H28" s="10" t="s">
        <v>169</v>
      </c>
      <c r="I28" s="10" t="s">
        <v>141</v>
      </c>
      <c r="K28" s="10" t="s">
        <v>170</v>
      </c>
      <c r="L28" s="10" t="str">
        <f t="shared" si="4"/>
        <v>-</v>
      </c>
      <c r="N28" s="10" t="str">
        <f t="shared" si="3"/>
        <v>-</v>
      </c>
      <c r="S28" s="8" t="str">
        <f ca="1">CONCATENATE(
$S$4,
INDIRECT(CONCATENATE("B",Q27)),$S$5,
INDIRECT(CONCATENATE("C",Q27)),$S$5,
INDIRECT(CONCATENATE("D",Q27)),$S$5,
INDIRECT(CONCATENATE("E",Q27)),$S$5,
INDIRECT(CONCATENATE("F",Q27)),$S$5,
INDIRECT(CONCATENATE("G",Q27)),$S$5,
INDIRECT(CONCATENATE("H",Q27)),$S$5,
INDIRECT(CONCATENATE("I",Q27)),$S$7)</f>
        <v>INSERT INTO public.clientes(nome, cpf, telefone, email, rua, numero, cidade, estado) VALUES ('Carlos Rodrigues', '52756833835', '2383272903', 'marisapereira@gmail.com', 'R. Prof. Mauro Andrade', '597', 'Porto Alegre', 'PR');</v>
      </c>
    </row>
    <row r="29" spans="1:21" x14ac:dyDescent="0.25">
      <c r="A29" s="7">
        <v>18</v>
      </c>
      <c r="B29" s="4" t="s">
        <v>191</v>
      </c>
      <c r="C29" s="19">
        <v>35302514885</v>
      </c>
      <c r="D29" s="9">
        <v>5095424178</v>
      </c>
      <c r="E29" s="9" t="str">
        <f>CONCATENATE(LOWER(SUBSTITUTE(Fornecedores!B29," ","")),"@gmail.com")</f>
        <v>priscilacamargodemelo@gmail.com</v>
      </c>
      <c r="F29" s="9" t="str">
        <f t="shared" ca="1" si="0"/>
        <v>Pç. Ruan Gomes</v>
      </c>
      <c r="G29" s="9">
        <f t="shared" ca="1" si="1"/>
        <v>1241</v>
      </c>
      <c r="H29" s="9" t="s">
        <v>171</v>
      </c>
      <c r="I29" s="9" t="s">
        <v>141</v>
      </c>
      <c r="K29" s="9" t="str">
        <f t="shared" si="2"/>
        <v>-</v>
      </c>
      <c r="L29" s="9" t="str">
        <f t="shared" si="4"/>
        <v>-</v>
      </c>
      <c r="N29" s="9" t="str">
        <f t="shared" si="3"/>
        <v>-</v>
      </c>
      <c r="S29" s="8"/>
    </row>
    <row r="30" spans="1:21" x14ac:dyDescent="0.25">
      <c r="A30" s="7">
        <v>19</v>
      </c>
      <c r="B30" s="3" t="s">
        <v>134</v>
      </c>
      <c r="C30" s="18">
        <v>64233648856</v>
      </c>
      <c r="D30" s="10">
        <v>2488207874</v>
      </c>
      <c r="E30" s="10" t="str">
        <f>CONCATENATE(LOWER(SUBSTITUTE(Fornecedores!B30," ","")),"@gmail.com")</f>
        <v>joaquimteixeira@gmail.com</v>
      </c>
      <c r="F30" s="10" t="str">
        <f t="shared" ca="1" si="0"/>
        <v>Av. Jose Pinheiro de Melo</v>
      </c>
      <c r="G30" s="10">
        <f t="shared" ca="1" si="1"/>
        <v>696</v>
      </c>
      <c r="H30" s="10" t="s">
        <v>172</v>
      </c>
      <c r="I30" s="10" t="s">
        <v>145</v>
      </c>
      <c r="K30" s="10" t="str">
        <f t="shared" si="2"/>
        <v>-</v>
      </c>
      <c r="L30" s="10" t="str">
        <f t="shared" si="4"/>
        <v>-</v>
      </c>
      <c r="N30" s="10" t="str">
        <f t="shared" si="3"/>
        <v>-</v>
      </c>
      <c r="Q30" s="15">
        <f t="shared" ref="Q30:R30" si="14">Q27+1</f>
        <v>18</v>
      </c>
      <c r="R30" s="15">
        <f t="shared" si="14"/>
        <v>7</v>
      </c>
      <c r="S30" s="8" t="str">
        <f t="shared" ref="S30" si="15">CONCATENATE($S$2,R30)</f>
        <v>-- 7</v>
      </c>
    </row>
    <row r="31" spans="1:21" x14ac:dyDescent="0.25">
      <c r="A31" s="7">
        <v>20</v>
      </c>
      <c r="B31" s="4" t="s">
        <v>137</v>
      </c>
      <c r="C31" s="19">
        <v>88265737866</v>
      </c>
      <c r="D31" s="9">
        <v>3473253807</v>
      </c>
      <c r="E31" s="9" t="str">
        <f>CONCATENATE(LOWER(SUBSTITUTE(Fornecedores!B31," ","")),"@gmail.com")</f>
        <v>rogeriosaraiva@gmail.com</v>
      </c>
      <c r="F31" s="9" t="str">
        <f t="shared" ca="1" si="0"/>
        <v>R. Prof. Juliana Araujo</v>
      </c>
      <c r="G31" s="9">
        <f t="shared" ca="1" si="1"/>
        <v>137</v>
      </c>
      <c r="H31" s="9" t="s">
        <v>173</v>
      </c>
      <c r="I31" s="9" t="s">
        <v>147</v>
      </c>
      <c r="K31" s="9" t="str">
        <f t="shared" si="2"/>
        <v>-</v>
      </c>
      <c r="L31" s="9" t="str">
        <f t="shared" si="4"/>
        <v>-</v>
      </c>
      <c r="N31" s="9" t="str">
        <f t="shared" si="3"/>
        <v>-</v>
      </c>
      <c r="S31" s="8" t="str">
        <f ca="1">CONCATENATE(
$S$4,
INDIRECT(CONCATENATE("B",Q30)),$S$5,
INDIRECT(CONCATENATE("C",Q30)),$S$5,
INDIRECT(CONCATENATE("D",Q30)),$S$5,
INDIRECT(CONCATENATE("E",Q30)),$S$5,
INDIRECT(CONCATENATE("F",Q30)),$S$5,
INDIRECT(CONCATENATE("G",Q30)),$S$5,
INDIRECT(CONCATENATE("H",Q30)),$S$5,
INDIRECT(CONCATENATE("I",Q30)),$S$7)</f>
        <v>INSERT INTO public.clientes(nome, cpf, telefone, email, rua, numero, cidade, estado) VALUES ('Wellington Henrique', '21233922866', '5124543524', 'andersonandradejunqueira@gmail.com', 'Pç. Thais Pereira', '734', 'Bom Jardim', 'PE');</v>
      </c>
    </row>
    <row r="32" spans="1:21" x14ac:dyDescent="0.25">
      <c r="A32" s="7">
        <v>21</v>
      </c>
      <c r="B32" s="3" t="s">
        <v>139</v>
      </c>
      <c r="C32" s="18">
        <v>14450496949</v>
      </c>
      <c r="D32" s="10">
        <v>5835759645</v>
      </c>
      <c r="E32" s="10" t="str">
        <f>CONCATENATE(LOWER(SUBSTITUTE(Fornecedores!B32," ","")),"@gmail.com")</f>
        <v>miguelduarte@gmail.com</v>
      </c>
      <c r="F32" s="10" t="str">
        <f t="shared" ca="1" si="0"/>
        <v>Av. Manoel Calixto</v>
      </c>
      <c r="G32" s="10">
        <f t="shared" ca="1" si="1"/>
        <v>1371</v>
      </c>
      <c r="H32" s="10" t="s">
        <v>174</v>
      </c>
      <c r="I32" s="10" t="s">
        <v>149</v>
      </c>
      <c r="K32" s="10" t="str">
        <f t="shared" si="2"/>
        <v>-</v>
      </c>
      <c r="L32" s="10" t="str">
        <f t="shared" si="4"/>
        <v>-</v>
      </c>
      <c r="N32" s="10" t="str">
        <f t="shared" si="3"/>
        <v>-</v>
      </c>
      <c r="S32" s="8"/>
    </row>
    <row r="33" spans="1:19" x14ac:dyDescent="0.25">
      <c r="A33" s="7">
        <v>22</v>
      </c>
      <c r="B33" s="4" t="s">
        <v>8</v>
      </c>
      <c r="C33" s="19">
        <v>68167594351</v>
      </c>
      <c r="D33" s="9">
        <v>8472358797</v>
      </c>
      <c r="E33" s="9" t="str">
        <f>CONCATENATE(LOWER(SUBSTITUTE(Fornecedores!B33," ","")),"@gmail.com")</f>
        <v>thaispereira@gmail.com</v>
      </c>
      <c r="F33" s="9" t="str">
        <f t="shared" ca="1" si="0"/>
        <v>Pç. Ruan Gomes</v>
      </c>
      <c r="G33" s="9">
        <f t="shared" ca="1" si="1"/>
        <v>364</v>
      </c>
      <c r="H33" s="9" t="s">
        <v>176</v>
      </c>
      <c r="I33" s="9" t="s">
        <v>151</v>
      </c>
      <c r="K33" s="9" t="str">
        <f t="shared" si="2"/>
        <v>-</v>
      </c>
      <c r="L33" s="9" t="str">
        <f t="shared" si="4"/>
        <v>-</v>
      </c>
      <c r="N33" s="9" t="str">
        <f t="shared" si="3"/>
        <v>-</v>
      </c>
      <c r="Q33" s="15">
        <f t="shared" ref="Q33:R33" si="16">Q30+1</f>
        <v>19</v>
      </c>
      <c r="R33" s="15">
        <f t="shared" si="16"/>
        <v>8</v>
      </c>
      <c r="S33" s="8" t="str">
        <f t="shared" ref="S33" si="17">CONCATENATE($S$2,R33)</f>
        <v>-- 8</v>
      </c>
    </row>
    <row r="34" spans="1:19" x14ac:dyDescent="0.25">
      <c r="A34" s="7">
        <v>23</v>
      </c>
      <c r="B34" s="3" t="s">
        <v>143</v>
      </c>
      <c r="C34" s="18">
        <v>62056915304</v>
      </c>
      <c r="D34" s="10">
        <v>2396784843</v>
      </c>
      <c r="E34" s="10" t="str">
        <f>CONCATENATE(LOWER(SUBSTITUTE(Fornecedores!B34," ","")),"@gmail.com")</f>
        <v>luanademelo@gmail.com</v>
      </c>
      <c r="F34" s="10" t="str">
        <f t="shared" ca="1" si="0"/>
        <v>R. Carlos Correia da Albuquerque</v>
      </c>
      <c r="G34" s="10">
        <f t="shared" ca="1" si="1"/>
        <v>1385</v>
      </c>
      <c r="H34" s="10" t="s">
        <v>177</v>
      </c>
      <c r="I34" s="10" t="s">
        <v>154</v>
      </c>
      <c r="K34" s="10" t="str">
        <f t="shared" si="2"/>
        <v>-</v>
      </c>
      <c r="L34" s="10" t="str">
        <f t="shared" si="4"/>
        <v>-</v>
      </c>
      <c r="N34" s="10" t="str">
        <f t="shared" si="3"/>
        <v>-</v>
      </c>
      <c r="S34" s="8" t="str">
        <f ca="1">CONCATENATE(
$S$4,
INDIRECT(CONCATENATE("B",Q33)),$S$5,
INDIRECT(CONCATENATE("C",Q33)),$S$5,
INDIRECT(CONCATENATE("D",Q33)),$S$5,
INDIRECT(CONCATENATE("E",Q33)),$S$5,
INDIRECT(CONCATENATE("F",Q33)),$S$5,
INDIRECT(CONCATENATE("G",Q33)),$S$5,
INDIRECT(CONCATENATE("H",Q33)),$S$5,
INDIRECT(CONCATENATE("I",Q33)),$S$7)</f>
        <v>INSERT INTO public.clientes(nome, cpf, telefone, email, rua, numero, cidade, estado) VALUES ('Andre Nunes', '11451698780', '4508723961', 'danieladacostarodrigues@gmail.com', 'R. Prof. Thais Pereira', '760', 'Tabatinga', 'AM');</v>
      </c>
    </row>
    <row r="35" spans="1:19" x14ac:dyDescent="0.25">
      <c r="A35" s="7">
        <v>24</v>
      </c>
      <c r="B35" s="4" t="s">
        <v>11</v>
      </c>
      <c r="C35" s="19">
        <v>43295294089</v>
      </c>
      <c r="D35" s="9">
        <v>7843079928</v>
      </c>
      <c r="E35" s="9" t="str">
        <f>CONCATENATE(LOWER(SUBSTITUTE(Fornecedores!B35," ","")),"@gmail.com")</f>
        <v>rodrigodaalbuquerque@gmail.com</v>
      </c>
      <c r="F35" s="9" t="str">
        <f t="shared" ca="1" si="0"/>
        <v>R. Bruno Moura</v>
      </c>
      <c r="G35" s="9">
        <f t="shared" ca="1" si="1"/>
        <v>642</v>
      </c>
      <c r="H35" s="9" t="s">
        <v>179</v>
      </c>
      <c r="I35" s="9" t="s">
        <v>157</v>
      </c>
      <c r="K35" s="9" t="str">
        <f t="shared" si="2"/>
        <v>-</v>
      </c>
      <c r="L35" s="9" t="str">
        <f t="shared" si="4"/>
        <v>-</v>
      </c>
      <c r="N35" s="9" t="str">
        <f t="shared" si="3"/>
        <v>-</v>
      </c>
      <c r="S35" s="8"/>
    </row>
    <row r="36" spans="1:19" x14ac:dyDescent="0.25">
      <c r="A36" s="7">
        <v>25</v>
      </c>
      <c r="B36" s="3" t="s">
        <v>10</v>
      </c>
      <c r="C36" s="18">
        <v>38569667655</v>
      </c>
      <c r="D36" s="10">
        <v>1242015992</v>
      </c>
      <c r="E36" s="10" t="str">
        <f>CONCATENATE(LOWER(SUBSTITUTE(Fornecedores!B36," ","")),"@gmail.com")</f>
        <v>manoelcalixto@gmail.com</v>
      </c>
      <c r="F36" s="10" t="str">
        <f t="shared" ca="1" si="0"/>
        <v>Av. Manoel Calixto</v>
      </c>
      <c r="G36" s="10">
        <f t="shared" ca="1" si="1"/>
        <v>1279</v>
      </c>
      <c r="H36" s="10" t="s">
        <v>180</v>
      </c>
      <c r="I36" s="10" t="s">
        <v>160</v>
      </c>
      <c r="K36" s="10" t="str">
        <f t="shared" si="2"/>
        <v>-</v>
      </c>
      <c r="L36" s="10" t="str">
        <f t="shared" si="4"/>
        <v>-</v>
      </c>
      <c r="N36" s="10" t="str">
        <f t="shared" si="3"/>
        <v>-</v>
      </c>
      <c r="Q36" s="15">
        <f t="shared" ref="Q36:R36" si="18">Q33+1</f>
        <v>20</v>
      </c>
      <c r="R36" s="15">
        <f t="shared" si="18"/>
        <v>9</v>
      </c>
      <c r="S36" s="8" t="str">
        <f t="shared" ref="S36" si="19">CONCATENATE($S$2,R36)</f>
        <v>-- 9</v>
      </c>
    </row>
    <row r="37" spans="1:19" x14ac:dyDescent="0.25">
      <c r="A37" s="7">
        <v>26</v>
      </c>
      <c r="B37" s="4" t="s">
        <v>12</v>
      </c>
      <c r="C37" s="19">
        <v>64558197306</v>
      </c>
      <c r="D37" s="9">
        <v>8662208736</v>
      </c>
      <c r="E37" s="9" t="str">
        <f>CONCATENATE(LOWER(SUBSTITUTE(Fornecedores!B37," ","")),"@gmail.com")</f>
        <v>ruangomes@gmail.com</v>
      </c>
      <c r="F37" s="9" t="str">
        <f t="shared" ca="1" si="0"/>
        <v>R. Giovana Pereira</v>
      </c>
      <c r="G37" s="9">
        <f t="shared" ca="1" si="1"/>
        <v>1336</v>
      </c>
      <c r="H37" s="9" t="s">
        <v>181</v>
      </c>
      <c r="I37" s="9" t="s">
        <v>182</v>
      </c>
      <c r="K37" s="9" t="str">
        <f t="shared" si="2"/>
        <v>-</v>
      </c>
      <c r="L37" s="9" t="str">
        <f t="shared" si="4"/>
        <v>-</v>
      </c>
      <c r="N37" s="9" t="str">
        <f t="shared" si="3"/>
        <v>-</v>
      </c>
      <c r="S37" s="8" t="str">
        <f ca="1">CONCATENATE(
$S$4,
INDIRECT(CONCATENATE("B",Q36)),$S$5,
INDIRECT(CONCATENATE("C",Q36)),$S$5,
INDIRECT(CONCATENATE("D",Q36)),$S$5,
INDIRECT(CONCATENATE("E",Q36)),$S$5,
INDIRECT(CONCATENATE("F",Q36)),$S$5,
INDIRECT(CONCATENATE("G",Q36)),$S$5,
INDIRECT(CONCATENATE("H",Q36)),$S$5,
INDIRECT(CONCATENATE("I",Q36)),$S$7)</f>
        <v>INSERT INTO public.clientes(nome, cpf, telefone, email, rua, numero, cidade, estado) VALUES ('Israel Neves', '74696055841', '9332453969', 'antôniodaalbuquerquejunior@gmail.com', 'Pç. Roberta da Silva Santos', '1347', 'Brasileia', 'AC');</v>
      </c>
    </row>
    <row r="38" spans="1:19" x14ac:dyDescent="0.25">
      <c r="A38" s="7">
        <v>27</v>
      </c>
      <c r="B38" s="3" t="s">
        <v>152</v>
      </c>
      <c r="C38" s="18">
        <v>21735967211</v>
      </c>
      <c r="D38" s="10">
        <v>5735957340</v>
      </c>
      <c r="E38" s="10" t="str">
        <f>CONCATENATE(LOWER(SUBSTITUTE(Fornecedores!B38," ","")),"@gmail.com")</f>
        <v>eduardoferreira@gmail.com</v>
      </c>
      <c r="F38" s="10" t="str">
        <f t="shared" ca="1" si="0"/>
        <v>R. Andre Nunes</v>
      </c>
      <c r="G38" s="10">
        <f t="shared" ca="1" si="1"/>
        <v>1414</v>
      </c>
      <c r="H38" s="10" t="s">
        <v>183</v>
      </c>
      <c r="I38" s="10" t="s">
        <v>164</v>
      </c>
      <c r="K38" s="10" t="str">
        <f t="shared" si="2"/>
        <v>-</v>
      </c>
      <c r="L38" s="10" t="str">
        <f t="shared" si="4"/>
        <v>-</v>
      </c>
      <c r="N38" s="10" t="str">
        <f t="shared" si="3"/>
        <v>-</v>
      </c>
      <c r="S38" s="8"/>
    </row>
    <row r="39" spans="1:19" x14ac:dyDescent="0.25">
      <c r="A39" s="7">
        <v>28</v>
      </c>
      <c r="B39" s="4" t="s">
        <v>155</v>
      </c>
      <c r="C39" s="19">
        <v>16157168668</v>
      </c>
      <c r="D39" s="9">
        <v>4554714486</v>
      </c>
      <c r="E39" s="9" t="str">
        <f>CONCATENATE(LOWER(SUBSTITUTE(Fornecedores!B39," ","")),"@gmail.com")</f>
        <v>albertocovas@gmail.com</v>
      </c>
      <c r="F39" s="9" t="str">
        <f t="shared" ca="1" si="0"/>
        <v>R. Lucas Nunes</v>
      </c>
      <c r="G39" s="9">
        <f t="shared" ca="1" si="1"/>
        <v>1202</v>
      </c>
      <c r="H39" s="9" t="s">
        <v>184</v>
      </c>
      <c r="I39" s="9" t="s">
        <v>167</v>
      </c>
      <c r="K39" s="9" t="str">
        <f t="shared" si="2"/>
        <v>-</v>
      </c>
      <c r="L39" s="9" t="str">
        <f t="shared" si="4"/>
        <v>-</v>
      </c>
      <c r="N39" s="9" t="str">
        <f t="shared" si="3"/>
        <v>-</v>
      </c>
      <c r="Q39" s="15">
        <f t="shared" ref="Q39:R39" si="20">Q36+1</f>
        <v>21</v>
      </c>
      <c r="R39" s="15">
        <f t="shared" si="20"/>
        <v>10</v>
      </c>
      <c r="S39" s="8" t="str">
        <f t="shared" ref="S39" si="21">CONCATENATE($S$2,R39)</f>
        <v>-- 10</v>
      </c>
    </row>
    <row r="40" spans="1:19" x14ac:dyDescent="0.25">
      <c r="A40" s="7">
        <v>29</v>
      </c>
      <c r="B40" s="3" t="s">
        <v>158</v>
      </c>
      <c r="C40" s="18">
        <v>18301452404</v>
      </c>
      <c r="D40" s="10">
        <v>6208624464</v>
      </c>
      <c r="E40" s="10" t="str">
        <f>CONCATENATE(LOWER(SUBSTITUTE(Fornecedores!B40," ","")),"@gmail.com")</f>
        <v>brunomoura@gmail.com</v>
      </c>
      <c r="F40" s="10" t="str">
        <f t="shared" ca="1" si="0"/>
        <v>R. Prof. Juliana Araujo</v>
      </c>
      <c r="G40" s="10">
        <f t="shared" ca="1" si="1"/>
        <v>1220</v>
      </c>
      <c r="H40" s="10" t="s">
        <v>135</v>
      </c>
      <c r="I40" s="10" t="s">
        <v>136</v>
      </c>
      <c r="K40" s="10" t="str">
        <f t="shared" si="2"/>
        <v>-</v>
      </c>
      <c r="L40" s="10" t="str">
        <f t="shared" si="4"/>
        <v>-</v>
      </c>
      <c r="N40" s="10" t="str">
        <f t="shared" si="3"/>
        <v>-</v>
      </c>
      <c r="S40" s="8" t="str">
        <f ca="1">CONCATENATE(
$S$4,
INDIRECT(CONCATENATE("B",Q39)),$S$5,
INDIRECT(CONCATENATE("C",Q39)),$S$5,
INDIRECT(CONCATENATE("D",Q39)),$S$5,
INDIRECT(CONCATENATE("E",Q39)),$S$5,
INDIRECT(CONCATENATE("F",Q39)),$S$5,
INDIRECT(CONCATENATE("G",Q39)),$S$5,
INDIRECT(CONCATENATE("H",Q39)),$S$5,
INDIRECT(CONCATENATE("I",Q39)),$S$7)</f>
        <v>INSERT INTO public.clientes(nome, cpf, telefone, email, rua, numero, cidade, estado) VALUES ('Carlos Antunes', '48577684881', '4409845947', 'carloscorreiadaalbuquerque@gmail.com', 'R. Maria Arruda', '1373', 'Bom Jesus', 'RN');</v>
      </c>
    </row>
    <row r="41" spans="1:19" x14ac:dyDescent="0.25">
      <c r="A41" s="7">
        <v>30</v>
      </c>
      <c r="B41" s="4" t="s">
        <v>16</v>
      </c>
      <c r="C41" s="19">
        <v>30533460750</v>
      </c>
      <c r="D41" s="9">
        <v>9627674238</v>
      </c>
      <c r="E41" s="9" t="str">
        <f>CONCATENATE(LOWER(SUBSTITUTE(Fornecedores!B41," ","")),"@gmail.com")</f>
        <v>fernandopereira@gmail.com</v>
      </c>
      <c r="F41" s="9" t="str">
        <f t="shared" ca="1" si="0"/>
        <v>Pç. Rodrigo da Albuquerque</v>
      </c>
      <c r="G41" s="9">
        <f t="shared" ca="1" si="1"/>
        <v>1018</v>
      </c>
      <c r="H41" s="9" t="s">
        <v>138</v>
      </c>
      <c r="I41" s="9" t="s">
        <v>136</v>
      </c>
      <c r="K41" s="9" t="str">
        <f t="shared" si="2"/>
        <v>-</v>
      </c>
      <c r="L41" s="9" t="str">
        <f t="shared" si="4"/>
        <v>-</v>
      </c>
      <c r="N41" s="9" t="str">
        <f t="shared" si="3"/>
        <v>-</v>
      </c>
      <c r="S41" s="8"/>
    </row>
    <row r="42" spans="1:19" x14ac:dyDescent="0.25">
      <c r="A42" s="7">
        <v>31</v>
      </c>
      <c r="B42" s="3" t="s">
        <v>17</v>
      </c>
      <c r="C42" s="18">
        <v>61775478009</v>
      </c>
      <c r="D42" s="10">
        <v>2890962847</v>
      </c>
      <c r="E42" s="10" t="str">
        <f>CONCATENATE(LOWER(SUBSTITUTE(Fornecedores!B42," ","")),"@gmail.com")</f>
        <v>israelmendes@gmail.com</v>
      </c>
      <c r="F42" s="10" t="str">
        <f t="shared" ca="1" si="0"/>
        <v>Pç. Rodrigo da Albuquerque</v>
      </c>
      <c r="G42" s="10">
        <f t="shared" ca="1" si="1"/>
        <v>1304</v>
      </c>
      <c r="H42" s="10" t="s">
        <v>140</v>
      </c>
      <c r="I42" s="10" t="s">
        <v>141</v>
      </c>
      <c r="K42" s="10" t="str">
        <f t="shared" si="2"/>
        <v>-</v>
      </c>
      <c r="L42" s="10" t="str">
        <f t="shared" si="4"/>
        <v>-</v>
      </c>
      <c r="N42" s="10" t="str">
        <f t="shared" si="3"/>
        <v>-</v>
      </c>
      <c r="Q42" s="15">
        <f t="shared" ref="Q42:R42" si="22">Q39+1</f>
        <v>22</v>
      </c>
      <c r="R42" s="15">
        <f t="shared" si="22"/>
        <v>11</v>
      </c>
      <c r="S42" s="8" t="str">
        <f t="shared" ref="S42" si="23">CONCATENATE($S$2,R42)</f>
        <v>-- 11</v>
      </c>
    </row>
    <row r="43" spans="1:19" x14ac:dyDescent="0.25">
      <c r="A43" s="7">
        <v>32</v>
      </c>
      <c r="B43" s="4" t="s">
        <v>165</v>
      </c>
      <c r="C43" s="19">
        <v>64441338740</v>
      </c>
      <c r="D43" s="9">
        <v>1595529156</v>
      </c>
      <c r="E43" s="9" t="str">
        <f>CONCATENATE(LOWER(SUBSTITUTE(Fornecedores!B43," ","")),"@gmail.com")</f>
        <v>julianaaraujo@gmail.com</v>
      </c>
      <c r="F43" s="9" t="str">
        <f t="shared" ca="1" si="0"/>
        <v>Av. Marisa Pereira</v>
      </c>
      <c r="G43" s="9">
        <f t="shared" ca="1" si="1"/>
        <v>1304</v>
      </c>
      <c r="H43" s="9" t="s">
        <v>142</v>
      </c>
      <c r="I43" s="9" t="s">
        <v>141</v>
      </c>
      <c r="K43" s="9" t="str">
        <f t="shared" si="2"/>
        <v>-</v>
      </c>
      <c r="L43" s="9" t="str">
        <f t="shared" si="4"/>
        <v>-</v>
      </c>
      <c r="N43" s="9" t="str">
        <f t="shared" si="3"/>
        <v>-</v>
      </c>
      <c r="S43" s="8" t="str">
        <f ca="1">CONCATENATE(
$S$4,
INDIRECT(CONCATENATE("B",Q42)),$S$5,
INDIRECT(CONCATENATE("C",Q42)),$S$5,
INDIRECT(CONCATENATE("D",Q42)),$S$5,
INDIRECT(CONCATENATE("E",Q42)),$S$5,
INDIRECT(CONCATENATE("F",Q42)),$S$5,
INDIRECT(CONCATENATE("G",Q42)),$S$5,
INDIRECT(CONCATENATE("H",Q42)),$S$5,
INDIRECT(CONCATENATE("I",Q42)),$S$7)</f>
        <v>INSERT INTO public.clientes(nome, cpf, telefone, email, rua, numero, cidade, estado) VALUES ('Marcos da Silva Santos', '92416263307', '3626873816', 'henriquecamargo@gmail.com', 'R. Marcos da Silva Santos', '691', 'Salgado', 'SE');</v>
      </c>
    </row>
    <row r="44" spans="1:19" x14ac:dyDescent="0.25">
      <c r="A44" s="7">
        <v>33</v>
      </c>
      <c r="B44" s="3" t="s">
        <v>19</v>
      </c>
      <c r="C44" s="18">
        <v>88801602146</v>
      </c>
      <c r="D44" s="10">
        <v>4675386540</v>
      </c>
      <c r="E44" s="10" t="str">
        <f>CONCATENATE(LOWER(SUBSTITUTE(Fornecedores!B44," ","")),"@gmail.com")</f>
        <v>tadeufernandesdaalbuquerque@gmail.com</v>
      </c>
      <c r="F44" s="10" t="str">
        <f t="shared" ref="F44:F61" ca="1" si="24">CONCATENATE(
INDIRECT(  CONCATENATE("F", RANDBETWEEN(4,7))  ),
INDIRECT(  CONCATENATE("B", RANDBETWEEN(12,61)))
)</f>
        <v>R. Luana de Melo</v>
      </c>
      <c r="G44" s="10">
        <f t="shared" ref="G44:G61" ca="1" si="25">RANDBETWEEN(50,1500)</f>
        <v>351</v>
      </c>
      <c r="H44" s="10" t="s">
        <v>144</v>
      </c>
      <c r="I44" s="10" t="s">
        <v>145</v>
      </c>
      <c r="K44" s="10" t="str">
        <f t="shared" si="2"/>
        <v>-</v>
      </c>
      <c r="L44" s="10" t="str">
        <f t="shared" si="4"/>
        <v>-</v>
      </c>
      <c r="N44" s="10" t="str">
        <f t="shared" si="3"/>
        <v>-</v>
      </c>
      <c r="S44" s="8"/>
    </row>
    <row r="45" spans="1:19" x14ac:dyDescent="0.25">
      <c r="A45" s="7">
        <v>34</v>
      </c>
      <c r="B45" s="4" t="s">
        <v>20</v>
      </c>
      <c r="C45" s="19">
        <v>67407637121</v>
      </c>
      <c r="D45" s="9">
        <v>5456387873</v>
      </c>
      <c r="E45" s="9" t="str">
        <f>CONCATENATE(LOWER(SUBSTITUTE(Fornecedores!B45," ","")),"@gmail.com")</f>
        <v>mariaarruda@gmail.com</v>
      </c>
      <c r="F45" s="9" t="str">
        <f t="shared" ca="1" si="24"/>
        <v>R. Prof. Juliana Araujo</v>
      </c>
      <c r="G45" s="9">
        <f t="shared" ca="1" si="25"/>
        <v>1086</v>
      </c>
      <c r="H45" s="9" t="s">
        <v>146</v>
      </c>
      <c r="I45" s="9" t="s">
        <v>147</v>
      </c>
      <c r="K45" s="9" t="str">
        <f t="shared" si="2"/>
        <v>-</v>
      </c>
      <c r="L45" s="9" t="str">
        <f t="shared" si="4"/>
        <v>-</v>
      </c>
      <c r="N45" s="9" t="str">
        <f t="shared" si="3"/>
        <v>-</v>
      </c>
      <c r="Q45" s="15">
        <f t="shared" ref="Q45:R45" si="26">Q42+1</f>
        <v>23</v>
      </c>
      <c r="R45" s="15">
        <f t="shared" si="26"/>
        <v>12</v>
      </c>
      <c r="S45" s="8" t="str">
        <f t="shared" ref="S45" si="27">CONCATENATE($S$2,R45)</f>
        <v>-- 12</v>
      </c>
    </row>
    <row r="46" spans="1:19" x14ac:dyDescent="0.25">
      <c r="A46" s="7">
        <v>35</v>
      </c>
      <c r="B46" s="3" t="s">
        <v>21</v>
      </c>
      <c r="C46" s="18">
        <v>56016371211</v>
      </c>
      <c r="D46" s="10">
        <v>2574473937</v>
      </c>
      <c r="E46" s="10" t="str">
        <f>CONCATENATE(LOWER(SUBSTITUTE(Fornecedores!B46," ","")),"@gmail.com")</f>
        <v>giovanapereira@gmail.com</v>
      </c>
      <c r="F46" s="10" t="str">
        <f t="shared" ca="1" si="24"/>
        <v>R. Prof. Joaquim Teixeira</v>
      </c>
      <c r="G46" s="10">
        <f t="shared" ca="1" si="25"/>
        <v>344</v>
      </c>
      <c r="H46" s="10" t="s">
        <v>148</v>
      </c>
      <c r="I46" s="10" t="s">
        <v>149</v>
      </c>
      <c r="K46" s="10" t="str">
        <f t="shared" si="2"/>
        <v>-</v>
      </c>
      <c r="L46" s="10" t="str">
        <f t="shared" si="4"/>
        <v>-</v>
      </c>
      <c r="N46" s="10" t="str">
        <f t="shared" si="3"/>
        <v>-</v>
      </c>
      <c r="S46" s="8" t="str">
        <f ca="1">CONCATENATE(
$S$4,
INDIRECT(CONCATENATE("B",Q45)),$S$5,
INDIRECT(CONCATENATE("C",Q45)),$S$5,
INDIRECT(CONCATENATE("D",Q45)),$S$5,
INDIRECT(CONCATENATE("E",Q45)),$S$5,
INDIRECT(CONCATENATE("F",Q45)),$S$5,
INDIRECT(CONCATENATE("G",Q45)),$S$5,
INDIRECT(CONCATENATE("H",Q45)),$S$5,
INDIRECT(CONCATENATE("I",Q45)),$S$7)</f>
        <v>INSERT INTO public.clientes(nome, cpf, telefone, email, rua, numero, cidade, estado) VALUES ('Giovane Matos', '40580248879', '5726231974', 'augustodemelo@gmail.com', 'Av. Priscila Camargo de Melo', '490', 'Verendina', 'MG');</v>
      </c>
    </row>
    <row r="47" spans="1:19" x14ac:dyDescent="0.25">
      <c r="A47" s="7">
        <v>36</v>
      </c>
      <c r="B47" s="4" t="s">
        <v>22</v>
      </c>
      <c r="C47" s="19">
        <v>40813755859</v>
      </c>
      <c r="D47" s="9">
        <v>4661136299</v>
      </c>
      <c r="E47" s="9" t="str">
        <f>CONCATENATE(LOWER(SUBSTITUTE(Fornecedores!B47," ","")),"@gmail.com")</f>
        <v>robertadasilvasantos@gmail.com</v>
      </c>
      <c r="F47" s="9" t="str">
        <f t="shared" ca="1" si="24"/>
        <v>Pç. Carlos Antunes</v>
      </c>
      <c r="G47" s="9">
        <f t="shared" ca="1" si="25"/>
        <v>1262</v>
      </c>
      <c r="H47" s="9" t="s">
        <v>150</v>
      </c>
      <c r="I47" s="9" t="s">
        <v>151</v>
      </c>
      <c r="K47" s="9" t="str">
        <f t="shared" si="2"/>
        <v>-</v>
      </c>
      <c r="L47" s="9" t="str">
        <f t="shared" si="4"/>
        <v>-</v>
      </c>
      <c r="N47" s="9" t="str">
        <f t="shared" si="3"/>
        <v>-</v>
      </c>
      <c r="S47" s="8"/>
    </row>
    <row r="48" spans="1:19" x14ac:dyDescent="0.25">
      <c r="A48" s="7">
        <v>37</v>
      </c>
      <c r="B48" s="3" t="s">
        <v>23</v>
      </c>
      <c r="C48" s="18">
        <v>11442730803</v>
      </c>
      <c r="D48" s="10">
        <v>7806064587</v>
      </c>
      <c r="E48" s="10" t="str">
        <f>CONCATENATE(LOWER(SUBSTITUTE(Fornecedores!B48," ","")),"@gmail.com")</f>
        <v>rodrigosouza@gmail.com</v>
      </c>
      <c r="F48" s="10" t="str">
        <f t="shared" ca="1" si="24"/>
        <v>R. Prof. Fernando Pereira</v>
      </c>
      <c r="G48" s="10">
        <f t="shared" ca="1" si="25"/>
        <v>1122</v>
      </c>
      <c r="H48" s="10" t="s">
        <v>153</v>
      </c>
      <c r="I48" s="10" t="s">
        <v>154</v>
      </c>
      <c r="K48" s="10" t="str">
        <f t="shared" si="2"/>
        <v>-</v>
      </c>
      <c r="L48" s="10" t="str">
        <f t="shared" si="4"/>
        <v>-</v>
      </c>
      <c r="N48" s="10" t="str">
        <f t="shared" si="3"/>
        <v>-</v>
      </c>
      <c r="Q48" s="15">
        <f t="shared" ref="Q48:R48" si="28">Q45+1</f>
        <v>24</v>
      </c>
      <c r="R48" s="15">
        <f t="shared" si="28"/>
        <v>13</v>
      </c>
      <c r="S48" s="8" t="str">
        <f t="shared" ref="S48" si="29">CONCATENATE($S$2,R48)</f>
        <v>-- 13</v>
      </c>
    </row>
    <row r="49" spans="1:19" x14ac:dyDescent="0.25">
      <c r="A49" s="7">
        <v>38</v>
      </c>
      <c r="B49" s="4" t="s">
        <v>24</v>
      </c>
      <c r="C49" s="19">
        <v>73377853480</v>
      </c>
      <c r="D49" s="9">
        <v>3186469926</v>
      </c>
      <c r="E49" s="9" t="str">
        <f>CONCATENATE(LOWER(SUBSTITUTE(Fornecedores!B49," ","")),"@gmail.com")</f>
        <v>carlosrodrigues@gmail.com</v>
      </c>
      <c r="F49" s="9" t="str">
        <f t="shared" ca="1" si="24"/>
        <v>Pç. Mario Cardoso de Melo</v>
      </c>
      <c r="G49" s="9">
        <f t="shared" ca="1" si="25"/>
        <v>1221</v>
      </c>
      <c r="H49" s="9" t="s">
        <v>156</v>
      </c>
      <c r="I49" s="9" t="s">
        <v>157</v>
      </c>
      <c r="K49" s="9" t="str">
        <f t="shared" si="2"/>
        <v>-</v>
      </c>
      <c r="L49" s="9" t="str">
        <f t="shared" si="4"/>
        <v>-</v>
      </c>
      <c r="N49" s="9" t="str">
        <f t="shared" si="3"/>
        <v>-</v>
      </c>
      <c r="S49" s="8" t="str">
        <f ca="1">CONCATENATE(
$S$4,
INDIRECT(CONCATENATE("B",Q48)),$S$5,
INDIRECT(CONCATENATE("C",Q48)),$S$5,
INDIRECT(CONCATENATE("D",Q48)),$S$5,
INDIRECT(CONCATENATE("E",Q48)),$S$5,
INDIRECT(CONCATENATE("F",Q48)),$S$5,
INDIRECT(CONCATENATE("G",Q48)),$S$5,
INDIRECT(CONCATENATE("H",Q48)),$S$5,
INDIRECT(CONCATENATE("I",Q48)),$S$7)</f>
        <v>INSERT INTO public.clientes(nome, cpf, telefone, email, rua, numero, cidade, estado) VALUES ('Guilherme Cardoso', '22140945808', '8534561825', 'antôniorabelo@gmail.com', 'R. Henrique Camargo', '332', 'Jurema', 'PI');</v>
      </c>
    </row>
    <row r="50" spans="1:19" x14ac:dyDescent="0.25">
      <c r="A50" s="7">
        <v>39</v>
      </c>
      <c r="B50" s="3" t="s">
        <v>25</v>
      </c>
      <c r="C50" s="18">
        <v>99413003483</v>
      </c>
      <c r="D50" s="10">
        <v>7101018899</v>
      </c>
      <c r="E50" s="10" t="str">
        <f>CONCATENATE(LOWER(SUBSTITUTE(Fornecedores!B50," ","")),"@gmail.com")</f>
        <v>wellingtonhenrique@gmail.com</v>
      </c>
      <c r="F50" s="10" t="str">
        <f t="shared" ca="1" si="24"/>
        <v>Pç. Tadeu Fernandes da Albuquerque</v>
      </c>
      <c r="G50" s="10">
        <f t="shared" ca="1" si="25"/>
        <v>1073</v>
      </c>
      <c r="H50" s="10" t="s">
        <v>159</v>
      </c>
      <c r="I50" s="10" t="s">
        <v>160</v>
      </c>
      <c r="K50" s="10" t="str">
        <f t="shared" si="2"/>
        <v>-</v>
      </c>
      <c r="L50" s="10" t="str">
        <f t="shared" si="4"/>
        <v>-</v>
      </c>
      <c r="N50" s="10" t="str">
        <f t="shared" si="3"/>
        <v>-</v>
      </c>
      <c r="S50" s="8"/>
    </row>
    <row r="51" spans="1:19" x14ac:dyDescent="0.25">
      <c r="A51" s="7">
        <v>40</v>
      </c>
      <c r="B51" s="4" t="s">
        <v>175</v>
      </c>
      <c r="C51" s="19">
        <v>46516377367</v>
      </c>
      <c r="D51" s="9">
        <v>6948966657</v>
      </c>
      <c r="E51" s="9" t="str">
        <f>CONCATENATE(LOWER(SUBSTITUTE(Fornecedores!B51," ","")),"@gmail.com")</f>
        <v>andrenunes@gmail.com</v>
      </c>
      <c r="F51" s="9" t="str">
        <f t="shared" ca="1" si="24"/>
        <v>Av. Rodrigo da Albuquerque</v>
      </c>
      <c r="G51" s="9">
        <f t="shared" ca="1" si="25"/>
        <v>69</v>
      </c>
      <c r="H51" s="9" t="s">
        <v>161</v>
      </c>
      <c r="I51" s="9" t="s">
        <v>162</v>
      </c>
      <c r="K51" s="9" t="str">
        <f t="shared" si="2"/>
        <v>-</v>
      </c>
      <c r="L51" s="9" t="str">
        <f t="shared" si="4"/>
        <v>-</v>
      </c>
      <c r="N51" s="9" t="str">
        <f t="shared" si="3"/>
        <v>-</v>
      </c>
      <c r="Q51" s="15">
        <f t="shared" ref="Q51:R51" si="30">Q48+1</f>
        <v>25</v>
      </c>
      <c r="R51" s="15">
        <f t="shared" si="30"/>
        <v>14</v>
      </c>
      <c r="S51" s="8" t="str">
        <f t="shared" ref="S51" si="31">CONCATENATE($S$2,R51)</f>
        <v>-- 14</v>
      </c>
    </row>
    <row r="52" spans="1:19" x14ac:dyDescent="0.25">
      <c r="A52" s="7">
        <v>41</v>
      </c>
      <c r="B52" s="3" t="s">
        <v>27</v>
      </c>
      <c r="C52" s="18">
        <v>55306856179</v>
      </c>
      <c r="D52" s="10">
        <v>3451899001</v>
      </c>
      <c r="E52" s="10" t="str">
        <f>CONCATENATE(LOWER(SUBSTITUTE(Fornecedores!B52," ","")),"@gmail.com")</f>
        <v>israelneves@gmail.com</v>
      </c>
      <c r="F52" s="10" t="str">
        <f t="shared" ca="1" si="24"/>
        <v>Av. Manoel Calixto</v>
      </c>
      <c r="G52" s="10">
        <f t="shared" ca="1" si="25"/>
        <v>1335</v>
      </c>
      <c r="H52" s="10" t="s">
        <v>163</v>
      </c>
      <c r="I52" s="10" t="s">
        <v>164</v>
      </c>
      <c r="K52" s="10" t="str">
        <f t="shared" si="2"/>
        <v>-</v>
      </c>
      <c r="L52" s="10" t="str">
        <f t="shared" si="4"/>
        <v>-</v>
      </c>
      <c r="N52" s="10" t="str">
        <f t="shared" si="3"/>
        <v>-</v>
      </c>
      <c r="S52" s="8" t="str">
        <f ca="1">CONCATENATE(
$S$4,
INDIRECT(CONCATENATE("B",Q51)),$S$5,
INDIRECT(CONCATENATE("C",Q51)),$S$5,
INDIRECT(CONCATENATE("D",Q51)),$S$5,
INDIRECT(CONCATENATE("E",Q51)),$S$5,
INDIRECT(CONCATENATE("F",Q51)),$S$5,
INDIRECT(CONCATENATE("G",Q51)),$S$5,
INDIRECT(CONCATENATE("H",Q51)),$S$5,
INDIRECT(CONCATENATE("I",Q51)),$S$7)</f>
        <v>INSERT INTO public.clientes(nome, cpf, telefone, email, rua, numero, cidade, estado) VALUES ('Lucas Nunes', '94985752827', '7025966914', 'augustodaalbuquerque@gmail.com', 'Pç. Patricia Correia da Albuquerque', '758', 'Alto Alegre', 'RR');</v>
      </c>
    </row>
    <row r="53" spans="1:19" x14ac:dyDescent="0.25">
      <c r="A53" s="7">
        <v>42</v>
      </c>
      <c r="B53" s="4" t="s">
        <v>178</v>
      </c>
      <c r="C53" s="19">
        <v>48588135922</v>
      </c>
      <c r="D53" s="9">
        <v>1010003163</v>
      </c>
      <c r="E53" s="9" t="str">
        <f>CONCATENATE(LOWER(SUBSTITUTE(Fornecedores!B53," ","")),"@gmail.com")</f>
        <v>carlosantunes@gmail.com</v>
      </c>
      <c r="F53" s="9" t="str">
        <f t="shared" ca="1" si="24"/>
        <v>R. Daniela da Costa Rodrigues</v>
      </c>
      <c r="G53" s="9">
        <f t="shared" ca="1" si="25"/>
        <v>175</v>
      </c>
      <c r="H53" s="9" t="s">
        <v>166</v>
      </c>
      <c r="I53" s="9" t="s">
        <v>167</v>
      </c>
      <c r="K53" s="9" t="str">
        <f t="shared" si="2"/>
        <v>-</v>
      </c>
      <c r="L53" s="9" t="str">
        <f t="shared" si="4"/>
        <v>-</v>
      </c>
      <c r="N53" s="9" t="str">
        <f t="shared" si="3"/>
        <v>-</v>
      </c>
      <c r="S53" s="8"/>
    </row>
    <row r="54" spans="1:19" x14ac:dyDescent="0.25">
      <c r="A54" s="7">
        <v>43</v>
      </c>
      <c r="B54" s="3" t="s">
        <v>29</v>
      </c>
      <c r="C54" s="18">
        <v>55702688392</v>
      </c>
      <c r="D54" s="10">
        <v>1773286787</v>
      </c>
      <c r="E54" s="10" t="str">
        <f>CONCATENATE(LOWER(SUBSTITUTE(Fornecedores!B54," ","")),"@gmail.com")</f>
        <v>marcosdasilvasantos@gmail.com</v>
      </c>
      <c r="F54" s="10" t="str">
        <f t="shared" ca="1" si="24"/>
        <v>R. Prof. Rodrigo da Albuquerque</v>
      </c>
      <c r="G54" s="10">
        <f t="shared" ca="1" si="25"/>
        <v>337</v>
      </c>
      <c r="H54" s="10" t="s">
        <v>168</v>
      </c>
      <c r="I54" s="10" t="s">
        <v>136</v>
      </c>
      <c r="K54" s="10" t="str">
        <f t="shared" si="2"/>
        <v>-</v>
      </c>
      <c r="L54" s="10" t="str">
        <f t="shared" si="4"/>
        <v>-</v>
      </c>
      <c r="N54" s="10" t="str">
        <f t="shared" si="3"/>
        <v>-</v>
      </c>
      <c r="Q54" s="15">
        <f t="shared" ref="Q54:R54" si="32">Q51+1</f>
        <v>26</v>
      </c>
      <c r="R54" s="15">
        <f t="shared" si="32"/>
        <v>15</v>
      </c>
      <c r="S54" s="8" t="str">
        <f t="shared" ref="S54" si="33">CONCATENATE($S$2,R54)</f>
        <v>-- 15</v>
      </c>
    </row>
    <row r="55" spans="1:19" x14ac:dyDescent="0.25">
      <c r="A55" s="7">
        <v>44</v>
      </c>
      <c r="B55" s="4" t="s">
        <v>30</v>
      </c>
      <c r="C55" s="19">
        <v>41438641850</v>
      </c>
      <c r="D55" s="9">
        <v>9686288397</v>
      </c>
      <c r="E55" s="9" t="str">
        <f>CONCATENATE(LOWER(SUBSTITUTE(Fornecedores!B55," ","")),"@gmail.com")</f>
        <v>giovanematos@gmail.com</v>
      </c>
      <c r="F55" s="9" t="str">
        <f t="shared" ca="1" si="24"/>
        <v>Av. Alberto Covas</v>
      </c>
      <c r="G55" s="9">
        <f t="shared" ca="1" si="25"/>
        <v>1208</v>
      </c>
      <c r="H55" s="9" t="s">
        <v>135</v>
      </c>
      <c r="I55" s="9" t="s">
        <v>136</v>
      </c>
      <c r="K55" s="9" t="str">
        <f t="shared" si="2"/>
        <v>-</v>
      </c>
      <c r="L55" s="9" t="str">
        <f t="shared" si="4"/>
        <v>-</v>
      </c>
      <c r="N55" s="9" t="str">
        <f t="shared" si="3"/>
        <v>-</v>
      </c>
      <c r="S55" s="8" t="str">
        <f ca="1">CONCATENATE(
$S$4,
INDIRECT(CONCATENATE("B",Q54)),$S$5,
INDIRECT(CONCATENATE("C",Q54)),$S$5,
INDIRECT(CONCATENATE("D",Q54)),$S$5,
INDIRECT(CONCATENATE("E",Q54)),$S$5,
INDIRECT(CONCATENATE("F",Q54)),$S$5,
INDIRECT(CONCATENATE("G",Q54)),$S$5,
INDIRECT(CONCATENATE("H",Q54)),$S$5,
INDIRECT(CONCATENATE("I",Q54)),$S$7)</f>
        <v>INSERT INTO public.clientes(nome, cpf, telefone, email, rua, numero, cidade, estado) VALUES ('Henrique Menezes', '68467291869', '1261340903', 'nicolasvieira@gmail.com', 'R. Eduardo Ferreira', '756', 'Mairinque', 'SP');</v>
      </c>
    </row>
    <row r="56" spans="1:19" x14ac:dyDescent="0.25">
      <c r="A56" s="7">
        <v>45</v>
      </c>
      <c r="B56" s="3" t="s">
        <v>31</v>
      </c>
      <c r="C56" s="18">
        <v>24369126967</v>
      </c>
      <c r="D56" s="10">
        <v>2086599707</v>
      </c>
      <c r="E56" s="10" t="str">
        <f>CONCATENATE(LOWER(SUBSTITUTE(Fornecedores!B56," ","")),"@gmail.com")</f>
        <v>guilhermecardoso@gmail.com</v>
      </c>
      <c r="F56" s="10" t="str">
        <f t="shared" ca="1" si="24"/>
        <v>R. Alberto Covas</v>
      </c>
      <c r="G56" s="10">
        <f t="shared" ca="1" si="25"/>
        <v>287</v>
      </c>
      <c r="H56" s="10" t="s">
        <v>169</v>
      </c>
      <c r="I56" s="10" t="s">
        <v>141</v>
      </c>
      <c r="K56" s="10" t="str">
        <f t="shared" si="2"/>
        <v>-</v>
      </c>
      <c r="L56" s="10" t="str">
        <f t="shared" si="4"/>
        <v>-</v>
      </c>
      <c r="N56" s="10" t="str">
        <f t="shared" si="3"/>
        <v>-</v>
      </c>
      <c r="S56" s="8"/>
    </row>
    <row r="57" spans="1:19" x14ac:dyDescent="0.25">
      <c r="A57" s="7">
        <v>46</v>
      </c>
      <c r="B57" s="4" t="s">
        <v>32</v>
      </c>
      <c r="C57" s="19">
        <v>29441643688</v>
      </c>
      <c r="D57" s="9">
        <v>1868415133</v>
      </c>
      <c r="E57" s="9" t="str">
        <f>CONCATENATE(LOWER(SUBSTITUTE(Fornecedores!B57," ","")),"@gmail.com")</f>
        <v>lucasnunes@gmail.com</v>
      </c>
      <c r="F57" s="9" t="str">
        <f t="shared" ca="1" si="24"/>
        <v>R. Manoel Miranda</v>
      </c>
      <c r="G57" s="9">
        <f t="shared" ca="1" si="25"/>
        <v>265</v>
      </c>
      <c r="H57" s="9" t="s">
        <v>171</v>
      </c>
      <c r="I57" s="9" t="s">
        <v>141</v>
      </c>
      <c r="K57" s="9" t="str">
        <f t="shared" si="2"/>
        <v>-</v>
      </c>
      <c r="L57" s="9" t="str">
        <f t="shared" si="4"/>
        <v>-</v>
      </c>
      <c r="N57" s="9" t="str">
        <f t="shared" si="3"/>
        <v>-</v>
      </c>
      <c r="Q57" s="15">
        <f t="shared" ref="Q57:R57" si="34">Q54+1</f>
        <v>27</v>
      </c>
      <c r="R57" s="15">
        <f t="shared" si="34"/>
        <v>16</v>
      </c>
      <c r="S57" s="8" t="str">
        <f t="shared" ref="S57" si="35">CONCATENATE($S$2,R57)</f>
        <v>-- 16</v>
      </c>
    </row>
    <row r="58" spans="1:19" x14ac:dyDescent="0.25">
      <c r="A58" s="7">
        <v>47</v>
      </c>
      <c r="B58" s="3" t="s">
        <v>33</v>
      </c>
      <c r="C58" s="18">
        <v>13461420840</v>
      </c>
      <c r="D58" s="10">
        <v>1694213938</v>
      </c>
      <c r="E58" s="10" t="str">
        <f>CONCATENATE(LOWER(SUBSTITUTE(Fornecedores!B58," ","")),"@gmail.com")</f>
        <v>henriquemenezes@gmail.com</v>
      </c>
      <c r="F58" s="10" t="str">
        <f t="shared" ca="1" si="24"/>
        <v>R. Juliana Araujo</v>
      </c>
      <c r="G58" s="10">
        <f t="shared" ca="1" si="25"/>
        <v>988</v>
      </c>
      <c r="H58" s="10" t="s">
        <v>172</v>
      </c>
      <c r="I58" s="10" t="s">
        <v>145</v>
      </c>
      <c r="K58" s="10" t="str">
        <f t="shared" si="2"/>
        <v>-</v>
      </c>
      <c r="L58" s="10" t="str">
        <f t="shared" si="4"/>
        <v>-</v>
      </c>
      <c r="N58" s="10" t="str">
        <f t="shared" si="3"/>
        <v>-</v>
      </c>
      <c r="S58" s="8" t="str">
        <f ca="1">CONCATENATE(
$S$4,
INDIRECT(CONCATENATE("B",Q57)),$S$5,
INDIRECT(CONCATENATE("C",Q57)),$S$5,
INDIRECT(CONCATENATE("D",Q57)),$S$5,
INDIRECT(CONCATENATE("E",Q57)),$S$5,
INDIRECT(CONCATENATE("F",Q57)),$S$5,
INDIRECT(CONCATENATE("G",Q57)),$S$5,
INDIRECT(CONCATENATE("H",Q57)),$S$5,
INDIRECT(CONCATENATE("I",Q57)),$S$7)</f>
        <v>INSERT INTO public.clientes(nome, cpf, telefone, email, rua, numero, cidade, estado) VALUES ('Manoel Miranda', '92993330845', '6063523786', 'mauroandrade@gmail.com', 'Av. Marisa Pereira', '846', 'Sorocaba', 'SP');</v>
      </c>
    </row>
    <row r="59" spans="1:19" x14ac:dyDescent="0.25">
      <c r="A59" s="7">
        <v>48</v>
      </c>
      <c r="B59" s="4" t="s">
        <v>34</v>
      </c>
      <c r="C59" s="19">
        <v>63181240800</v>
      </c>
      <c r="D59" s="9">
        <v>3691729405</v>
      </c>
      <c r="E59" s="9" t="str">
        <f>CONCATENATE(LOWER(SUBSTITUTE(Fornecedores!B59," ","")),"@gmail.com")</f>
        <v>manoelmiranda@gmail.com</v>
      </c>
      <c r="F59" s="9" t="str">
        <f t="shared" ca="1" si="24"/>
        <v>R. Eduardo Ferreira</v>
      </c>
      <c r="G59" s="9">
        <f t="shared" ca="1" si="25"/>
        <v>1010</v>
      </c>
      <c r="H59" s="9" t="s">
        <v>173</v>
      </c>
      <c r="I59" s="9" t="s">
        <v>147</v>
      </c>
      <c r="K59" s="9" t="str">
        <f t="shared" si="2"/>
        <v>-</v>
      </c>
      <c r="L59" s="9" t="str">
        <f t="shared" si="4"/>
        <v>-</v>
      </c>
      <c r="N59" s="9" t="str">
        <f t="shared" si="3"/>
        <v>-</v>
      </c>
      <c r="S59" s="8"/>
    </row>
    <row r="60" spans="1:19" x14ac:dyDescent="0.25">
      <c r="A60" s="7">
        <v>49</v>
      </c>
      <c r="B60" s="3" t="s">
        <v>35</v>
      </c>
      <c r="C60" s="18">
        <v>74236405652</v>
      </c>
      <c r="D60" s="10">
        <v>3824425468</v>
      </c>
      <c r="E60" s="10" t="str">
        <f>CONCATENATE(LOWER(SUBSTITUTE(Fornecedores!B60," ","")),"@gmail.com")</f>
        <v>carloseduardomenezes@gmail.com</v>
      </c>
      <c r="F60" s="10" t="str">
        <f t="shared" ca="1" si="24"/>
        <v>R. Prof. Israel Mendes</v>
      </c>
      <c r="G60" s="10">
        <f t="shared" ca="1" si="25"/>
        <v>646</v>
      </c>
      <c r="H60" s="10" t="s">
        <v>174</v>
      </c>
      <c r="I60" s="10" t="s">
        <v>149</v>
      </c>
      <c r="K60" s="10" t="str">
        <f t="shared" si="2"/>
        <v>-</v>
      </c>
      <c r="L60" s="10" t="str">
        <f t="shared" si="4"/>
        <v>-</v>
      </c>
      <c r="N60" s="10" t="str">
        <f t="shared" si="3"/>
        <v>-</v>
      </c>
      <c r="Q60" s="15">
        <f t="shared" ref="Q60:R60" si="36">Q57+1</f>
        <v>28</v>
      </c>
      <c r="R60" s="15">
        <f t="shared" si="36"/>
        <v>17</v>
      </c>
      <c r="S60" s="8" t="str">
        <f t="shared" ref="S60" si="37">CONCATENATE($S$2,R60)</f>
        <v>-- 17</v>
      </c>
    </row>
    <row r="61" spans="1:19" x14ac:dyDescent="0.25">
      <c r="A61" s="7">
        <v>50</v>
      </c>
      <c r="B61" s="4" t="s">
        <v>36</v>
      </c>
      <c r="C61" s="19">
        <v>65802037300</v>
      </c>
      <c r="D61" s="9">
        <v>4733124725</v>
      </c>
      <c r="E61" s="9" t="str">
        <f>CONCATENATE(LOWER(SUBSTITUTE(Fornecedores!B61," ","")),"@gmail.com")</f>
        <v>patriciacorreiadaalbuquerque@gmail.com</v>
      </c>
      <c r="F61" s="9" t="str">
        <f t="shared" ca="1" si="24"/>
        <v>R. Guilherme Cardoso</v>
      </c>
      <c r="G61" s="9">
        <f t="shared" ca="1" si="25"/>
        <v>1388</v>
      </c>
      <c r="H61" s="9" t="s">
        <v>176</v>
      </c>
      <c r="I61" s="9" t="s">
        <v>151</v>
      </c>
      <c r="K61" s="9" t="str">
        <f t="shared" si="2"/>
        <v>-</v>
      </c>
      <c r="L61" s="9" t="str">
        <f t="shared" si="4"/>
        <v>-</v>
      </c>
      <c r="N61" s="9" t="str">
        <f t="shared" si="3"/>
        <v>-</v>
      </c>
      <c r="S61" s="8" t="str">
        <f ca="1">CONCATENATE(
$S$4,
INDIRECT(CONCATENATE("B",Q60)),$S$5,
INDIRECT(CONCATENATE("C",Q60)),$S$5,
INDIRECT(CONCATENATE("D",Q60)),$S$5,
INDIRECT(CONCATENATE("E",Q60)),$S$5,
INDIRECT(CONCATENATE("F",Q60)),$S$5,
INDIRECT(CONCATENATE("G",Q60)),$S$5,
INDIRECT(CONCATENATE("H",Q60)),$S$5,
INDIRECT(CONCATENATE("I",Q60)),$S$7)</f>
        <v>INSERT INTO public.clientes(nome, cpf, telefone, email, rua, numero, cidade, estado) VALUES ('Carlos Eduardo Menezes', '61870420853', '4265698951', 'robertosouza@gmail.com', 'Pç. Giovane Matos', '772', 'Niterói', 'RJ');</v>
      </c>
    </row>
    <row r="62" spans="1:19" x14ac:dyDescent="0.25">
      <c r="B62" s="12"/>
      <c r="S62" s="8"/>
    </row>
    <row r="63" spans="1:19" x14ac:dyDescent="0.25">
      <c r="B63" s="12"/>
      <c r="Q63" s="15">
        <f t="shared" ref="Q63:R63" si="38">Q60+1</f>
        <v>29</v>
      </c>
      <c r="R63" s="15">
        <f t="shared" si="38"/>
        <v>18</v>
      </c>
      <c r="S63" s="8" t="str">
        <f t="shared" ref="S63" si="39">CONCATENATE($S$2,R63)</f>
        <v>-- 18</v>
      </c>
    </row>
    <row r="64" spans="1:19" x14ac:dyDescent="0.25">
      <c r="S64" s="8" t="str">
        <f ca="1">CONCATENATE(
$S$4,
INDIRECT(CONCATENATE("B",Q63)),$S$5,
INDIRECT(CONCATENATE("C",Q63)),$S$5,
INDIRECT(CONCATENATE("D",Q63)),$S$5,
INDIRECT(CONCATENATE("E",Q63)),$S$5,
INDIRECT(CONCATENATE("F",Q63)),$S$5,
INDIRECT(CONCATENATE("G",Q63)),$S$5,
INDIRECT(CONCATENATE("H",Q63)),$S$5,
INDIRECT(CONCATENATE("I",Q63)),$S$7)</f>
        <v>INSERT INTO public.clientes(nome, cpf, telefone, email, rua, numero, cidade, estado) VALUES ('Patricia Correia da Albuquerque', '35302514885', '5095424178', 'priscilacamargodemelo@gmail.com', 'Pç. Ruan Gomes', '1241', 'Petropólis', 'RJ');</v>
      </c>
    </row>
    <row r="65" spans="17:19" x14ac:dyDescent="0.25">
      <c r="S65" s="8"/>
    </row>
    <row r="66" spans="17:19" x14ac:dyDescent="0.25">
      <c r="Q66" s="15">
        <f t="shared" ref="Q66:R66" si="40">Q63+1</f>
        <v>30</v>
      </c>
      <c r="R66" s="15">
        <f t="shared" si="40"/>
        <v>19</v>
      </c>
      <c r="S66" s="8" t="str">
        <f t="shared" ref="S66" si="41">CONCATENATE($S$2,R66)</f>
        <v>-- 19</v>
      </c>
    </row>
    <row r="67" spans="17:19" x14ac:dyDescent="0.25">
      <c r="S67" s="8" t="str">
        <f ca="1">CONCATENATE(
$S$4,
INDIRECT(CONCATENATE("B",Q66)),$S$5,
INDIRECT(CONCATENATE("C",Q66)),$S$5,
INDIRECT(CONCATENATE("D",Q66)),$S$5,
INDIRECT(CONCATENATE("E",Q66)),$S$5,
INDIRECT(CONCATENATE("F",Q66)),$S$5,
INDIRECT(CONCATENATE("G",Q66)),$S$5,
INDIRECT(CONCATENATE("H",Q66)),$S$5,
INDIRECT(CONCATENATE("I",Q66)),$S$7)</f>
        <v>INSERT INTO public.clientes(nome, cpf, telefone, email, rua, numero, cidade, estado) VALUES ('Mario Cardoso de Melo', '64233648856', '2488207874', 'joaquimteixeira@gmail.com', 'Av. Jose Pinheiro de Melo', '696', 'Serra Alta', 'SC');</v>
      </c>
    </row>
    <row r="68" spans="17:19" x14ac:dyDescent="0.25">
      <c r="S68" s="8"/>
    </row>
    <row r="69" spans="17:19" x14ac:dyDescent="0.25">
      <c r="Q69" s="15">
        <f t="shared" ref="Q69:R69" si="42">Q66+1</f>
        <v>31</v>
      </c>
      <c r="R69" s="15">
        <f t="shared" si="42"/>
        <v>20</v>
      </c>
      <c r="S69" s="8" t="str">
        <f t="shared" ref="S69" si="43">CONCATENATE($S$2,R69)</f>
        <v>-- 20</v>
      </c>
    </row>
    <row r="70" spans="17:19" x14ac:dyDescent="0.25">
      <c r="S70" s="8" t="str">
        <f ca="1">CONCATENATE(
$S$4,
INDIRECT(CONCATENATE("B",Q69)),$S$5,
INDIRECT(CONCATENATE("C",Q69)),$S$5,
INDIRECT(CONCATENATE("D",Q69)),$S$5,
INDIRECT(CONCATENATE("E",Q69)),$S$5,
INDIRECT(CONCATENATE("F",Q69)),$S$5,
INDIRECT(CONCATENATE("G",Q69)),$S$5,
INDIRECT(CONCATENATE("H",Q69)),$S$5,
INDIRECT(CONCATENATE("I",Q69)),$S$7)</f>
        <v>INSERT INTO public.clientes(nome, cpf, telefone, email, rua, numero, cidade, estado) VALUES ('Luiz Carlos de Campos', '88265737866', '3473253807', 'rogeriosaraiva@gmail.com', 'R. Prof. Juliana Araujo', '137', 'Ponta Grossa', 'PR');</v>
      </c>
    </row>
    <row r="71" spans="17:19" x14ac:dyDescent="0.25">
      <c r="S71" s="8"/>
    </row>
    <row r="72" spans="17:19" x14ac:dyDescent="0.25">
      <c r="Q72" s="15">
        <f t="shared" ref="Q72:R72" si="44">Q69+1</f>
        <v>32</v>
      </c>
      <c r="R72" s="15">
        <f t="shared" si="44"/>
        <v>21</v>
      </c>
      <c r="S72" s="8" t="str">
        <f t="shared" ref="S72" si="45">CONCATENATE($S$2,R72)</f>
        <v>-- 21</v>
      </c>
    </row>
    <row r="73" spans="17:19" x14ac:dyDescent="0.25">
      <c r="S73" s="8" t="str">
        <f ca="1">CONCATENATE(
$S$4,
INDIRECT(CONCATENATE("B",Q72)),$S$5,
INDIRECT(CONCATENATE("C",Q72)),$S$5,
INDIRECT(CONCATENATE("D",Q72)),$S$5,
INDIRECT(CONCATENATE("E",Q72)),$S$5,
INDIRECT(CONCATENATE("F",Q72)),$S$5,
INDIRECT(CONCATENATE("G",Q72)),$S$5,
INDIRECT(CONCATENATE("H",Q72)),$S$5,
INDIRECT(CONCATENATE("I",Q72)),$S$7)</f>
        <v>INSERT INTO public.clientes(nome, cpf, telefone, email, rua, numero, cidade, estado) VALUES ('Henrique Souza', '14450496949', '5835759645', 'miguelduarte@gmail.com', 'Av. Manoel Calixto', '1371', 'Itamaraca', 'PE');</v>
      </c>
    </row>
    <row r="74" spans="17:19" x14ac:dyDescent="0.25">
      <c r="S74" s="8"/>
    </row>
    <row r="75" spans="17:19" x14ac:dyDescent="0.25">
      <c r="Q75" s="15">
        <f t="shared" ref="Q75:R75" si="46">Q72+1</f>
        <v>33</v>
      </c>
      <c r="R75" s="15">
        <f t="shared" si="46"/>
        <v>22</v>
      </c>
      <c r="S75" s="8" t="str">
        <f t="shared" ref="S75" si="47">CONCATENATE($S$2,R75)</f>
        <v>-- 22</v>
      </c>
    </row>
    <row r="76" spans="17:19" x14ac:dyDescent="0.25">
      <c r="S76" s="8" t="str">
        <f ca="1">CONCATENATE(
$S$4,
INDIRECT(CONCATENATE("B",Q75)),$S$5,
INDIRECT(CONCATENATE("C",Q75)),$S$5,
INDIRECT(CONCATENATE("D",Q75)),$S$5,
INDIRECT(CONCATENATE("E",Q75)),$S$5,
INDIRECT(CONCATENATE("F",Q75)),$S$5,
INDIRECT(CONCATENATE("G",Q75)),$S$5,
INDIRECT(CONCATENATE("H",Q75)),$S$5,
INDIRECT(CONCATENATE("I",Q75)),$S$7)</f>
        <v>INSERT INTO public.clientes(nome, cpf, telefone, email, rua, numero, cidade, estado) VALUES ('Jose Pinheiro de Melo', '68167594351', '8472358797', 'thaispereira@gmail.com', 'Pç. Ruan Gomes', '364', 'Manaus', 'AM');</v>
      </c>
    </row>
    <row r="77" spans="17:19" x14ac:dyDescent="0.25">
      <c r="S77" s="8"/>
    </row>
    <row r="78" spans="17:19" x14ac:dyDescent="0.25">
      <c r="Q78" s="15">
        <f t="shared" ref="Q78:R78" si="48">Q75+1</f>
        <v>34</v>
      </c>
      <c r="R78" s="15">
        <f t="shared" si="48"/>
        <v>23</v>
      </c>
      <c r="S78" s="8" t="str">
        <f t="shared" ref="S78" si="49">CONCATENATE($S$2,R78)</f>
        <v>-- 23</v>
      </c>
    </row>
    <row r="79" spans="17:19" x14ac:dyDescent="0.25">
      <c r="S79" s="8" t="str">
        <f ca="1">CONCATENATE(
$S$4,
INDIRECT(CONCATENATE("B",Q78)),$S$5,
INDIRECT(CONCATENATE("C",Q78)),$S$5,
INDIRECT(CONCATENATE("D",Q78)),$S$5,
INDIRECT(CONCATENATE("E",Q78)),$S$5,
INDIRECT(CONCATENATE("F",Q78)),$S$5,
INDIRECT(CONCATENATE("G",Q78)),$S$5,
INDIRECT(CONCATENATE("H",Q78)),$S$5,
INDIRECT(CONCATENATE("I",Q78)),$S$7)</f>
        <v>INSERT INTO public.clientes(nome, cpf, telefone, email, rua, numero, cidade, estado) VALUES ('Vicente do Amaral Neto', '62056915304', '2396784843', 'luanademelo@gmail.com', 'R. Carlos Correia da Albuquerque', '1385', 'Xapuri', 'AC');</v>
      </c>
    </row>
    <row r="80" spans="17:19" x14ac:dyDescent="0.25">
      <c r="S80" s="8"/>
    </row>
    <row r="81" spans="17:19" x14ac:dyDescent="0.25">
      <c r="Q81" s="15">
        <f t="shared" ref="Q81:R81" si="50">Q78+1</f>
        <v>35</v>
      </c>
      <c r="R81" s="15">
        <f t="shared" si="50"/>
        <v>24</v>
      </c>
      <c r="S81" s="8" t="str">
        <f t="shared" ref="S81" si="51">CONCATENATE($S$2,R81)</f>
        <v>-- 24</v>
      </c>
    </row>
    <row r="82" spans="17:19" x14ac:dyDescent="0.25">
      <c r="S82" s="8" t="str">
        <f ca="1">CONCATENATE(
$S$4,
INDIRECT(CONCATENATE("B",Q81)),$S$5,
INDIRECT(CONCATENATE("C",Q81)),$S$5,
INDIRECT(CONCATENATE("D",Q81)),$S$5,
INDIRECT(CONCATENATE("E",Q81)),$S$5,
INDIRECT(CONCATENATE("F",Q81)),$S$5,
INDIRECT(CONCATENATE("G",Q81)),$S$5,
INDIRECT(CONCATENATE("H",Q81)),$S$5,
INDIRECT(CONCATENATE("I",Q81)),$S$7)</f>
        <v>INSERT INTO public.clientes(nome, cpf, telefone, email, rua, numero, cidade, estado) VALUES ('Marisa Pereira', '43295294089', '7843079928', 'rodrigodaalbuquerque@gmail.com', 'R. Bruno Moura', '642', 'Jandaira', 'RN');</v>
      </c>
    </row>
    <row r="83" spans="17:19" x14ac:dyDescent="0.25">
      <c r="S83" s="8"/>
    </row>
    <row r="84" spans="17:19" x14ac:dyDescent="0.25">
      <c r="Q84" s="15">
        <f t="shared" ref="Q84:R84" si="52">Q81+1</f>
        <v>36</v>
      </c>
      <c r="R84" s="15">
        <f t="shared" si="52"/>
        <v>25</v>
      </c>
      <c r="S84" s="8" t="str">
        <f t="shared" ref="S84" si="53">CONCATENATE($S$2,R84)</f>
        <v>-- 25</v>
      </c>
    </row>
    <row r="85" spans="17:19" x14ac:dyDescent="0.25">
      <c r="S85" s="8" t="str">
        <f ca="1">CONCATENATE(
$S$4,
INDIRECT(CONCATENATE("B",Q84)),$S$5,
INDIRECT(CONCATENATE("C",Q84)),$S$5,
INDIRECT(CONCATENATE("D",Q84)),$S$5,
INDIRECT(CONCATENATE("E",Q84)),$S$5,
INDIRECT(CONCATENATE("F",Q84)),$S$5,
INDIRECT(CONCATENATE("G",Q84)),$S$5,
INDIRECT(CONCATENATE("H",Q84)),$S$5,
INDIRECT(CONCATENATE("I",Q84)),$S$7)</f>
        <v>INSERT INTO public.clientes(nome, cpf, telefone, email, rua, numero, cidade, estado) VALUES ('Anderson Andrade Junqueira', '38569667655', '1242015992', 'manoelcalixto@gmail.com', 'Av. Manoel Calixto', '1279', 'Tobias Barreto', 'SE');</v>
      </c>
    </row>
    <row r="86" spans="17:19" x14ac:dyDescent="0.25">
      <c r="S86" s="8"/>
    </row>
    <row r="87" spans="17:19" x14ac:dyDescent="0.25">
      <c r="Q87" s="15">
        <f t="shared" ref="Q87:R87" si="54">Q84+1</f>
        <v>37</v>
      </c>
      <c r="R87" s="15">
        <f t="shared" si="54"/>
        <v>26</v>
      </c>
      <c r="S87" s="8" t="str">
        <f t="shared" ref="S87" si="55">CONCATENATE($S$2,R87)</f>
        <v>-- 26</v>
      </c>
    </row>
    <row r="88" spans="17:19" x14ac:dyDescent="0.25">
      <c r="S88" s="8" t="str">
        <f ca="1">CONCATENATE(
$S$4,
INDIRECT(CONCATENATE("B",Q87)),$S$5,
INDIRECT(CONCATENATE("C",Q87)),$S$5,
INDIRECT(CONCATENATE("D",Q87)),$S$5,
INDIRECT(CONCATENATE("E",Q87)),$S$5,
INDIRECT(CONCATENATE("F",Q87)),$S$5,
INDIRECT(CONCATENATE("G",Q87)),$S$5,
INDIRECT(CONCATENATE("H",Q87)),$S$5,
INDIRECT(CONCATENATE("I",Q87)),$S$7)</f>
        <v>INSERT INTO public.clientes(nome, cpf, telefone, email, rua, numero, cidade, estado) VALUES ('Daniela da Costa Rodrigues', '64558197306', '8662208736', 'ruangomes@gmail.com', 'R. Giovana Pereira', '1336', 'Uruana', 'GO');</v>
      </c>
    </row>
    <row r="89" spans="17:19" x14ac:dyDescent="0.25">
      <c r="S89" s="8"/>
    </row>
    <row r="90" spans="17:19" x14ac:dyDescent="0.25">
      <c r="Q90" s="15">
        <f t="shared" ref="Q90:R90" si="56">Q87+1</f>
        <v>38</v>
      </c>
      <c r="R90" s="15">
        <f t="shared" si="56"/>
        <v>27</v>
      </c>
      <c r="S90" s="8" t="str">
        <f t="shared" ref="S90" si="57">CONCATENATE($S$2,R90)</f>
        <v>-- 27</v>
      </c>
    </row>
    <row r="91" spans="17:19" x14ac:dyDescent="0.25">
      <c r="S91" s="8" t="str">
        <f ca="1">CONCATENATE(
$S$4,
INDIRECT(CONCATENATE("B",Q90)),$S$5,
INDIRECT(CONCATENATE("C",Q90)),$S$5,
INDIRECT(CONCATENATE("D",Q90)),$S$5,
INDIRECT(CONCATENATE("E",Q90)),$S$5,
INDIRECT(CONCATENATE("F",Q90)),$S$5,
INDIRECT(CONCATENATE("G",Q90)),$S$5,
INDIRECT(CONCATENATE("H",Q90)),$S$5,
INDIRECT(CONCATENATE("I",Q90)),$S$7)</f>
        <v>INSERT INTO public.clientes(nome, cpf, telefone, email, rua, numero, cidade, estado) VALUES ('Antônio da Albuquerque Junior', '21735967211', '5735957340', 'eduardoferreira@gmail.com', 'R. Andre Nunes', '1414', 'Teresina', 'PI');</v>
      </c>
    </row>
    <row r="92" spans="17:19" x14ac:dyDescent="0.25">
      <c r="S92" s="8"/>
    </row>
    <row r="93" spans="17:19" x14ac:dyDescent="0.25">
      <c r="Q93" s="15">
        <f t="shared" ref="Q93:R93" si="58">Q90+1</f>
        <v>39</v>
      </c>
      <c r="R93" s="15">
        <f t="shared" si="58"/>
        <v>28</v>
      </c>
      <c r="S93" s="8" t="str">
        <f t="shared" ref="S93" si="59">CONCATENATE($S$2,R93)</f>
        <v>-- 28</v>
      </c>
    </row>
    <row r="94" spans="17:19" x14ac:dyDescent="0.25">
      <c r="S94" s="8" t="str">
        <f ca="1">CONCATENATE(
$S$4,
INDIRECT(CONCATENATE("B",Q93)),$S$5,
INDIRECT(CONCATENATE("C",Q93)),$S$5,
INDIRECT(CONCATENATE("D",Q93)),$S$5,
INDIRECT(CONCATENATE("E",Q93)),$S$5,
INDIRECT(CONCATENATE("F",Q93)),$S$5,
INDIRECT(CONCATENATE("G",Q93)),$S$5,
INDIRECT(CONCATENATE("H",Q93)),$S$5,
INDIRECT(CONCATENATE("I",Q93)),$S$7)</f>
        <v>INSERT INTO public.clientes(nome, cpf, telefone, email, rua, numero, cidade, estado) VALUES ('Carlos Correia da Albuquerque', '16157168668', '4554714486', 'albertocovas@gmail.com', 'R. Lucas Nunes', '1202', 'Pacaraima', 'RR');</v>
      </c>
    </row>
    <row r="95" spans="17:19" x14ac:dyDescent="0.25">
      <c r="S95" s="8"/>
    </row>
    <row r="96" spans="17:19" x14ac:dyDescent="0.25">
      <c r="Q96" s="15">
        <f t="shared" ref="Q96:R96" si="60">Q93+1</f>
        <v>40</v>
      </c>
      <c r="R96" s="15">
        <f t="shared" si="60"/>
        <v>29</v>
      </c>
      <c r="S96" s="8" t="str">
        <f t="shared" ref="S96" si="61">CONCATENATE($S$2,R96)</f>
        <v>-- 29</v>
      </c>
    </row>
    <row r="97" spans="17:19" x14ac:dyDescent="0.25">
      <c r="S97" s="8" t="str">
        <f ca="1">CONCATENATE(
$S$4,
INDIRECT(CONCATENATE("B",Q96)),$S$5,
INDIRECT(CONCATENATE("C",Q96)),$S$5,
INDIRECT(CONCATENATE("D",Q96)),$S$5,
INDIRECT(CONCATENATE("E",Q96)),$S$5,
INDIRECT(CONCATENATE("F",Q96)),$S$5,
INDIRECT(CONCATENATE("G",Q96)),$S$5,
INDIRECT(CONCATENATE("H",Q96)),$S$5,
INDIRECT(CONCATENATE("I",Q96)),$S$7)</f>
        <v>INSERT INTO public.clientes(nome, cpf, telefone, email, rua, numero, cidade, estado) VALUES ('Henrique Camargo', '18301452404', '6208624464', 'brunomoura@gmail.com', 'R. Prof. Juliana Araujo', '1220', 'Sorocaba', 'SP');</v>
      </c>
    </row>
    <row r="98" spans="17:19" x14ac:dyDescent="0.25">
      <c r="S98" s="8"/>
    </row>
    <row r="99" spans="17:19" x14ac:dyDescent="0.25">
      <c r="Q99" s="15">
        <f t="shared" ref="Q99:R99" si="62">Q96+1</f>
        <v>41</v>
      </c>
      <c r="R99" s="15">
        <f t="shared" si="62"/>
        <v>30</v>
      </c>
      <c r="S99" s="8" t="str">
        <f t="shared" ref="S99" si="63">CONCATENATE($S$2,R99)</f>
        <v>-- 30</v>
      </c>
    </row>
    <row r="100" spans="17:19" x14ac:dyDescent="0.25">
      <c r="S100" s="8" t="str">
        <f ca="1">CONCATENATE(
$S$4,
INDIRECT(CONCATENATE("B",Q99)),$S$5,
INDIRECT(CONCATENATE("C",Q99)),$S$5,
INDIRECT(CONCATENATE("D",Q99)),$S$5,
INDIRECT(CONCATENATE("E",Q99)),$S$5,
INDIRECT(CONCATENATE("F",Q99)),$S$5,
INDIRECT(CONCATENATE("G",Q99)),$S$5,
INDIRECT(CONCATENATE("H",Q99)),$S$5,
INDIRECT(CONCATENATE("I",Q99)),$S$7)</f>
        <v>INSERT INTO public.clientes(nome, cpf, telefone, email, rua, numero, cidade, estado) VALUES ('Augusto de Melo', '30533460750', '9627674238', 'fernandopereira@gmail.com', 'Pç. Rodrigo da Albuquerque', '1018', 'Pilar do Sul', 'SP');</v>
      </c>
    </row>
    <row r="101" spans="17:19" x14ac:dyDescent="0.25">
      <c r="S101" s="8"/>
    </row>
    <row r="102" spans="17:19" x14ac:dyDescent="0.25">
      <c r="Q102" s="15">
        <f t="shared" ref="Q102:R102" si="64">Q99+1</f>
        <v>42</v>
      </c>
      <c r="R102" s="15">
        <f t="shared" si="64"/>
        <v>31</v>
      </c>
      <c r="S102" s="8" t="str">
        <f t="shared" ref="S102" si="65">CONCATENATE($S$2,R102)</f>
        <v>-- 31</v>
      </c>
    </row>
    <row r="103" spans="17:19" x14ac:dyDescent="0.25">
      <c r="S103" s="8" t="str">
        <f ca="1">CONCATENATE(
$S$4,
INDIRECT(CONCATENATE("B",Q102)),$S$5,
INDIRECT(CONCATENATE("C",Q102)),$S$5,
INDIRECT(CONCATENATE("D",Q102)),$S$5,
INDIRECT(CONCATENATE("E",Q102)),$S$5,
INDIRECT(CONCATENATE("F",Q102)),$S$5,
INDIRECT(CONCATENATE("G",Q102)),$S$5,
INDIRECT(CONCATENATE("H",Q102)),$S$5,
INDIRECT(CONCATENATE("I",Q102)),$S$7)</f>
        <v>INSERT INTO public.clientes(nome, cpf, telefone, email, rua, numero, cidade, estado) VALUES ('Antônio Rabelo', '61775478009', '2890962847', 'israelmendes@gmail.com', 'Pç. Rodrigo da Albuquerque', '1304', 'Rio de Janeiro', 'RJ');</v>
      </c>
    </row>
    <row r="104" spans="17:19" x14ac:dyDescent="0.25">
      <c r="S104" s="8"/>
    </row>
    <row r="105" spans="17:19" x14ac:dyDescent="0.25">
      <c r="Q105" s="15">
        <f t="shared" ref="Q105:R105" si="66">Q102+1</f>
        <v>43</v>
      </c>
      <c r="R105" s="15">
        <f t="shared" si="66"/>
        <v>32</v>
      </c>
      <c r="S105" s="8" t="str">
        <f t="shared" ref="S105" si="67">CONCATENATE($S$2,R105)</f>
        <v>-- 32</v>
      </c>
    </row>
    <row r="106" spans="17:19" x14ac:dyDescent="0.25">
      <c r="S106" s="8" t="str">
        <f ca="1">CONCATENATE(
$S$4,
INDIRECT(CONCATENATE("B",Q105)),$S$5,
INDIRECT(CONCATENATE("C",Q105)),$S$5,
INDIRECT(CONCATENATE("D",Q105)),$S$5,
INDIRECT(CONCATENATE("E",Q105)),$S$5,
INDIRECT(CONCATENATE("F",Q105)),$S$5,
INDIRECT(CONCATENATE("G",Q105)),$S$5,
INDIRECT(CONCATENATE("H",Q105)),$S$5,
INDIRECT(CONCATENATE("I",Q105)),$S$7)</f>
        <v>INSERT INTO public.clientes(nome, cpf, telefone, email, rua, numero, cidade, estado) VALUES ('Augusto da Albuquerque', '64441338740', '1595529156', 'julianaaraujo@gmail.com', 'Av. Marisa Pereira', '1304', 'Nova Iguaçu', 'RJ');</v>
      </c>
    </row>
    <row r="107" spans="17:19" x14ac:dyDescent="0.25">
      <c r="S107" s="8"/>
    </row>
    <row r="108" spans="17:19" x14ac:dyDescent="0.25">
      <c r="Q108" s="15">
        <f t="shared" ref="Q108:R108" si="68">Q105+1</f>
        <v>44</v>
      </c>
      <c r="R108" s="15">
        <f t="shared" si="68"/>
        <v>33</v>
      </c>
      <c r="S108" s="8" t="str">
        <f t="shared" ref="S108" si="69">CONCATENATE($S$2,R108)</f>
        <v>-- 33</v>
      </c>
    </row>
    <row r="109" spans="17:19" x14ac:dyDescent="0.25">
      <c r="S109" s="8" t="str">
        <f ca="1">CONCATENATE(
$S$4,
INDIRECT(CONCATENATE("B",Q108)),$S$5,
INDIRECT(CONCATENATE("C",Q108)),$S$5,
INDIRECT(CONCATENATE("D",Q108)),$S$5,
INDIRECT(CONCATENATE("E",Q108)),$S$5,
INDIRECT(CONCATENATE("F",Q108)),$S$5,
INDIRECT(CONCATENATE("G",Q108)),$S$5,
INDIRECT(CONCATENATE("H",Q108)),$S$5,
INDIRECT(CONCATENATE("I",Q108)),$S$7)</f>
        <v>INSERT INTO public.clientes(nome, cpf, telefone, email, rua, numero, cidade, estado) VALUES ('Nicolas Vieira', '88801602146', '4675386540', 'tadeufernandesdaalbuquerque@gmail.com', 'R. Luana de Melo', '351', 'Blumenau', 'SC');</v>
      </c>
    </row>
    <row r="110" spans="17:19" x14ac:dyDescent="0.25">
      <c r="S110" s="8"/>
    </row>
    <row r="111" spans="17:19" x14ac:dyDescent="0.25">
      <c r="Q111" s="15">
        <f t="shared" ref="Q111:R111" si="70">Q108+1</f>
        <v>45</v>
      </c>
      <c r="R111" s="15">
        <f t="shared" si="70"/>
        <v>34</v>
      </c>
      <c r="S111" s="8" t="str">
        <f t="shared" ref="S111" si="71">CONCATENATE($S$2,R111)</f>
        <v>-- 34</v>
      </c>
    </row>
    <row r="112" spans="17:19" x14ac:dyDescent="0.25">
      <c r="S112" s="8" t="str">
        <f ca="1">CONCATENATE(
$S$4,
INDIRECT(CONCATENATE("B",Q111)),$S$5,
INDIRECT(CONCATENATE("C",Q111)),$S$5,
INDIRECT(CONCATENATE("D",Q111)),$S$5,
INDIRECT(CONCATENATE("E",Q111)),$S$5,
INDIRECT(CONCATENATE("F",Q111)),$S$5,
INDIRECT(CONCATENATE("G",Q111)),$S$5,
INDIRECT(CONCATENATE("H",Q111)),$S$5,
INDIRECT(CONCATENATE("I",Q111)),$S$7)</f>
        <v>INSERT INTO public.clientes(nome, cpf, telefone, email, rua, numero, cidade, estado) VALUES ('Mauro Andrade', '67407637121', '5456387873', 'mariaarruda@gmail.com', 'R. Prof. Juliana Araujo', '1086', 'Porto Alegre', 'PR');</v>
      </c>
    </row>
    <row r="113" spans="17:19" x14ac:dyDescent="0.25">
      <c r="S113" s="8"/>
    </row>
    <row r="114" spans="17:19" x14ac:dyDescent="0.25">
      <c r="Q114" s="15">
        <f t="shared" ref="Q114:R114" si="72">Q111+1</f>
        <v>46</v>
      </c>
      <c r="R114" s="15">
        <f t="shared" si="72"/>
        <v>35</v>
      </c>
      <c r="S114" s="8" t="str">
        <f t="shared" ref="S114" si="73">CONCATENATE($S$2,R114)</f>
        <v>-- 35</v>
      </c>
    </row>
    <row r="115" spans="17:19" x14ac:dyDescent="0.25">
      <c r="S115" s="8" t="str">
        <f ca="1">CONCATENATE(
$S$4,
INDIRECT(CONCATENATE("B",Q114)),$S$5,
INDIRECT(CONCATENATE("C",Q114)),$S$5,
INDIRECT(CONCATENATE("D",Q114)),$S$5,
INDIRECT(CONCATENATE("E",Q114)),$S$5,
INDIRECT(CONCATENATE("F",Q114)),$S$5,
INDIRECT(CONCATENATE("G",Q114)),$S$5,
INDIRECT(CONCATENATE("H",Q114)),$S$5,
INDIRECT(CONCATENATE("I",Q114)),$S$7)</f>
        <v>INSERT INTO public.clientes(nome, cpf, telefone, email, rua, numero, cidade, estado) VALUES ('Roberto Souza', '56016371211', '2574473937', 'giovanapereira@gmail.com', 'R. Prof. Joaquim Teixeira', '344', 'Bom Jardim', 'PE');</v>
      </c>
    </row>
    <row r="116" spans="17:19" x14ac:dyDescent="0.25">
      <c r="S116" s="8"/>
    </row>
    <row r="117" spans="17:19" x14ac:dyDescent="0.25">
      <c r="Q117" s="15">
        <f t="shared" ref="Q117:R117" si="74">Q114+1</f>
        <v>47</v>
      </c>
      <c r="R117" s="15">
        <f t="shared" si="74"/>
        <v>36</v>
      </c>
      <c r="S117" s="8" t="str">
        <f t="shared" ref="S117" si="75">CONCATENATE($S$2,R117)</f>
        <v>-- 36</v>
      </c>
    </row>
    <row r="118" spans="17:19" x14ac:dyDescent="0.25">
      <c r="S118" s="8" t="str">
        <f ca="1">CONCATENATE(
$S$4,
INDIRECT(CONCATENATE("B",Q117)),$S$5,
INDIRECT(CONCATENATE("C",Q117)),$S$5,
INDIRECT(CONCATENATE("D",Q117)),$S$5,
INDIRECT(CONCATENATE("E",Q117)),$S$5,
INDIRECT(CONCATENATE("F",Q117)),$S$5,
INDIRECT(CONCATENATE("G",Q117)),$S$5,
INDIRECT(CONCATENATE("H",Q117)),$S$5,
INDIRECT(CONCATENATE("I",Q117)),$S$7)</f>
        <v>INSERT INTO public.clientes(nome, cpf, telefone, email, rua, numero, cidade, estado) VALUES ('Priscila Camargo de Melo', '40813755859', '4661136299', 'robertadasilvasantos@gmail.com', 'Pç. Carlos Antunes', '1262', 'Tabatinga', 'AM');</v>
      </c>
    </row>
    <row r="119" spans="17:19" x14ac:dyDescent="0.25">
      <c r="S119" s="8"/>
    </row>
    <row r="120" spans="17:19" x14ac:dyDescent="0.25">
      <c r="Q120" s="15">
        <f t="shared" ref="Q120:R120" si="76">Q117+1</f>
        <v>48</v>
      </c>
      <c r="R120" s="15">
        <f t="shared" si="76"/>
        <v>37</v>
      </c>
      <c r="S120" s="8" t="str">
        <f t="shared" ref="S120" si="77">CONCATENATE($S$2,R120)</f>
        <v>-- 37</v>
      </c>
    </row>
    <row r="121" spans="17:19" x14ac:dyDescent="0.25">
      <c r="S121" s="8" t="str">
        <f ca="1">CONCATENATE(
$S$4,
INDIRECT(CONCATENATE("B",Q120)),$S$5,
INDIRECT(CONCATENATE("C",Q120)),$S$5,
INDIRECT(CONCATENATE("D",Q120)),$S$5,
INDIRECT(CONCATENATE("E",Q120)),$S$5,
INDIRECT(CONCATENATE("F",Q120)),$S$5,
INDIRECT(CONCATENATE("G",Q120)),$S$5,
INDIRECT(CONCATENATE("H",Q120)),$S$5,
INDIRECT(CONCATENATE("I",Q120)),$S$7)</f>
        <v>INSERT INTO public.clientes(nome, cpf, telefone, email, rua, numero, cidade, estado) VALUES ('Joaquim Teixeira', '11442730803', '7806064587', 'rodrigosouza@gmail.com', 'R. Prof. Fernando Pereira', '1122', 'Brasileia', 'AC');</v>
      </c>
    </row>
    <row r="122" spans="17:19" x14ac:dyDescent="0.25">
      <c r="S122" s="8"/>
    </row>
    <row r="123" spans="17:19" x14ac:dyDescent="0.25">
      <c r="Q123" s="15">
        <f t="shared" ref="Q123:R123" si="78">Q120+1</f>
        <v>49</v>
      </c>
      <c r="R123" s="15">
        <f t="shared" si="78"/>
        <v>38</v>
      </c>
      <c r="S123" s="8" t="str">
        <f t="shared" ref="S123" si="79">CONCATENATE($S$2,R123)</f>
        <v>-- 38</v>
      </c>
    </row>
    <row r="124" spans="17:19" x14ac:dyDescent="0.25">
      <c r="S124" s="8" t="str">
        <f ca="1">CONCATENATE(
$S$4,
INDIRECT(CONCATENATE("B",Q123)),$S$5,
INDIRECT(CONCATENATE("C",Q123)),$S$5,
INDIRECT(CONCATENATE("D",Q123)),$S$5,
INDIRECT(CONCATENATE("E",Q123)),$S$5,
INDIRECT(CONCATENATE("F",Q123)),$S$5,
INDIRECT(CONCATENATE("G",Q123)),$S$5,
INDIRECT(CONCATENATE("H",Q123)),$S$5,
INDIRECT(CONCATENATE("I",Q123)),$S$7)</f>
        <v>INSERT INTO public.clientes(nome, cpf, telefone, email, rua, numero, cidade, estado) VALUES ('Rogerio Saraiva', '73377853480', '3186469926', 'carlosrodrigues@gmail.com', 'Pç. Mario Cardoso de Melo', '1221', 'Bom Jesus', 'RN');</v>
      </c>
    </row>
    <row r="125" spans="17:19" x14ac:dyDescent="0.25">
      <c r="S125" s="8"/>
    </row>
    <row r="126" spans="17:19" x14ac:dyDescent="0.25">
      <c r="Q126" s="15">
        <f t="shared" ref="Q126:R126" si="80">Q123+1</f>
        <v>50</v>
      </c>
      <c r="R126" s="15">
        <f t="shared" si="80"/>
        <v>39</v>
      </c>
      <c r="S126" s="8" t="str">
        <f t="shared" ref="S126" si="81">CONCATENATE($S$2,R126)</f>
        <v>-- 39</v>
      </c>
    </row>
    <row r="127" spans="17:19" x14ac:dyDescent="0.25">
      <c r="S127" s="8" t="str">
        <f ca="1">CONCATENATE(
$S$4,
INDIRECT(CONCATENATE("B",Q126)),$S$5,
INDIRECT(CONCATENATE("C",Q126)),$S$5,
INDIRECT(CONCATENATE("D",Q126)),$S$5,
INDIRECT(CONCATENATE("E",Q126)),$S$5,
INDIRECT(CONCATENATE("F",Q126)),$S$5,
INDIRECT(CONCATENATE("G",Q126)),$S$5,
INDIRECT(CONCATENATE("H",Q126)),$S$5,
INDIRECT(CONCATENATE("I",Q126)),$S$7)</f>
        <v>INSERT INTO public.clientes(nome, cpf, telefone, email, rua, numero, cidade, estado) VALUES ('Miguel Duarte', '99413003483', '7101018899', 'wellingtonhenrique@gmail.com', 'Pç. Tadeu Fernandes da Albuquerque', '1073', 'Salgado', 'SE');</v>
      </c>
    </row>
    <row r="128" spans="17:19" x14ac:dyDescent="0.25">
      <c r="S128" s="8"/>
    </row>
    <row r="129" spans="17:19" x14ac:dyDescent="0.25">
      <c r="Q129" s="15">
        <f t="shared" ref="Q129:R129" si="82">Q126+1</f>
        <v>51</v>
      </c>
      <c r="R129" s="15">
        <f t="shared" si="82"/>
        <v>40</v>
      </c>
      <c r="S129" s="8" t="str">
        <f t="shared" ref="S129" si="83">CONCATENATE($S$2,R129)</f>
        <v>-- 40</v>
      </c>
    </row>
    <row r="130" spans="17:19" x14ac:dyDescent="0.25">
      <c r="S130" s="8" t="str">
        <f ca="1">CONCATENATE(
$S$4,
INDIRECT(CONCATENATE("B",Q129)),$S$5,
INDIRECT(CONCATENATE("C",Q129)),$S$5,
INDIRECT(CONCATENATE("D",Q129)),$S$5,
INDIRECT(CONCATENATE("E",Q129)),$S$5,
INDIRECT(CONCATENATE("F",Q129)),$S$5,
INDIRECT(CONCATENATE("G",Q129)),$S$5,
INDIRECT(CONCATENATE("H",Q129)),$S$5,
INDIRECT(CONCATENATE("I",Q129)),$S$7)</f>
        <v>INSERT INTO public.clientes(nome, cpf, telefone, email, rua, numero, cidade, estado) VALUES ('Thais Pereira', '46516377367', '6948966657', 'andrenunes@gmail.com', 'Av. Rodrigo da Albuquerque', '69', 'Verendina', 'MG');</v>
      </c>
    </row>
    <row r="131" spans="17:19" x14ac:dyDescent="0.25">
      <c r="S131" s="8"/>
    </row>
    <row r="132" spans="17:19" x14ac:dyDescent="0.25">
      <c r="Q132" s="15">
        <f t="shared" ref="Q132:R132" si="84">Q129+1</f>
        <v>52</v>
      </c>
      <c r="R132" s="15">
        <f t="shared" si="84"/>
        <v>41</v>
      </c>
      <c r="S132" s="8" t="str">
        <f t="shared" ref="S132" si="85">CONCATENATE($S$2,R132)</f>
        <v>-- 41</v>
      </c>
    </row>
    <row r="133" spans="17:19" x14ac:dyDescent="0.25">
      <c r="S133" s="8" t="str">
        <f ca="1">CONCATENATE(
$S$4,
INDIRECT(CONCATENATE("B",Q132)),$S$5,
INDIRECT(CONCATENATE("C",Q132)),$S$5,
INDIRECT(CONCATENATE("D",Q132)),$S$5,
INDIRECT(CONCATENATE("E",Q132)),$S$5,
INDIRECT(CONCATENATE("F",Q132)),$S$5,
INDIRECT(CONCATENATE("G",Q132)),$S$5,
INDIRECT(CONCATENATE("H",Q132)),$S$5,
INDIRECT(CONCATENATE("I",Q132)),$S$7)</f>
        <v>INSERT INTO public.clientes(nome, cpf, telefone, email, rua, numero, cidade, estado) VALUES ('Luana de Melo', '55306856179', '3451899001', 'israelneves@gmail.com', 'Av. Manoel Calixto', '1335', 'Jurema', 'PI');</v>
      </c>
    </row>
    <row r="134" spans="17:19" x14ac:dyDescent="0.25">
      <c r="S134" s="8"/>
    </row>
    <row r="135" spans="17:19" x14ac:dyDescent="0.25">
      <c r="Q135" s="15">
        <f t="shared" ref="Q135:R135" si="86">Q132+1</f>
        <v>53</v>
      </c>
      <c r="R135" s="15">
        <f t="shared" si="86"/>
        <v>42</v>
      </c>
      <c r="S135" s="8" t="str">
        <f t="shared" ref="S135" si="87">CONCATENATE($S$2,R135)</f>
        <v>-- 42</v>
      </c>
    </row>
    <row r="136" spans="17:19" x14ac:dyDescent="0.25">
      <c r="S136" s="8" t="str">
        <f ca="1">CONCATENATE(
$S$4,
INDIRECT(CONCATENATE("B",Q135)),$S$5,
INDIRECT(CONCATENATE("C",Q135)),$S$5,
INDIRECT(CONCATENATE("D",Q135)),$S$5,
INDIRECT(CONCATENATE("E",Q135)),$S$5,
INDIRECT(CONCATENATE("F",Q135)),$S$5,
INDIRECT(CONCATENATE("G",Q135)),$S$5,
INDIRECT(CONCATENATE("H",Q135)),$S$5,
INDIRECT(CONCATENATE("I",Q135)),$S$7)</f>
        <v>INSERT INTO public.clientes(nome, cpf, telefone, email, rua, numero, cidade, estado) VALUES ('Rodrigo da Albuquerque', '48588135922', '1010003163', 'carlosantunes@gmail.com', 'R. Daniela da Costa Rodrigues', '175', 'Alto Alegre', 'RR');</v>
      </c>
    </row>
    <row r="137" spans="17:19" x14ac:dyDescent="0.25">
      <c r="S137" s="8"/>
    </row>
    <row r="138" spans="17:19" x14ac:dyDescent="0.25">
      <c r="Q138" s="15">
        <f t="shared" ref="Q138:R138" si="88">Q135+1</f>
        <v>54</v>
      </c>
      <c r="R138" s="15">
        <f t="shared" si="88"/>
        <v>43</v>
      </c>
      <c r="S138" s="8" t="str">
        <f t="shared" ref="S138" si="89">CONCATENATE($S$2,R138)</f>
        <v>-- 43</v>
      </c>
    </row>
    <row r="139" spans="17:19" x14ac:dyDescent="0.25">
      <c r="S139" s="8" t="str">
        <f ca="1">CONCATENATE(
$S$4,
INDIRECT(CONCATENATE("B",Q138)),$S$5,
INDIRECT(CONCATENATE("C",Q138)),$S$5,
INDIRECT(CONCATENATE("D",Q138)),$S$5,
INDIRECT(CONCATENATE("E",Q138)),$S$5,
INDIRECT(CONCATENATE("F",Q138)),$S$5,
INDIRECT(CONCATENATE("G",Q138)),$S$5,
INDIRECT(CONCATENATE("H",Q138)),$S$5,
INDIRECT(CONCATENATE("I",Q138)),$S$7)</f>
        <v>INSERT INTO public.clientes(nome, cpf, telefone, email, rua, numero, cidade, estado) VALUES ('Manoel Calixto', '55702688392', '1773286787', 'marcosdasilvasantos@gmail.com', 'R. Prof. Rodrigo da Albuquerque', '337', 'Mairinque', 'SP');</v>
      </c>
    </row>
    <row r="140" spans="17:19" x14ac:dyDescent="0.25">
      <c r="S140" s="8"/>
    </row>
    <row r="141" spans="17:19" x14ac:dyDescent="0.25">
      <c r="Q141" s="15">
        <f t="shared" ref="Q141:R141" si="90">Q138+1</f>
        <v>55</v>
      </c>
      <c r="R141" s="15">
        <f t="shared" si="90"/>
        <v>44</v>
      </c>
      <c r="S141" s="8" t="str">
        <f t="shared" ref="S141" si="91">CONCATENATE($S$2,R141)</f>
        <v>-- 44</v>
      </c>
    </row>
    <row r="142" spans="17:19" x14ac:dyDescent="0.25">
      <c r="S142" s="8" t="str">
        <f ca="1">CONCATENATE(
$S$4,
INDIRECT(CONCATENATE("B",Q141)),$S$5,
INDIRECT(CONCATENATE("C",Q141)),$S$5,
INDIRECT(CONCATENATE("D",Q141)),$S$5,
INDIRECT(CONCATENATE("E",Q141)),$S$5,
INDIRECT(CONCATENATE("F",Q141)),$S$5,
INDIRECT(CONCATENATE("G",Q141)),$S$5,
INDIRECT(CONCATENATE("H",Q141)),$S$5,
INDIRECT(CONCATENATE("I",Q141)),$S$7)</f>
        <v>INSERT INTO public.clientes(nome, cpf, telefone, email, rua, numero, cidade, estado) VALUES ('Ruan Gomes', '41438641850', '9686288397', 'giovanematos@gmail.com', 'Av. Alberto Covas', '1208', 'Sorocaba', 'SP');</v>
      </c>
    </row>
    <row r="143" spans="17:19" x14ac:dyDescent="0.25">
      <c r="S143" s="8"/>
    </row>
    <row r="144" spans="17:19" x14ac:dyDescent="0.25">
      <c r="Q144" s="15">
        <f t="shared" ref="Q144:R144" si="92">Q141+1</f>
        <v>56</v>
      </c>
      <c r="R144" s="15">
        <f t="shared" si="92"/>
        <v>45</v>
      </c>
      <c r="S144" s="8" t="str">
        <f t="shared" ref="S144" si="93">CONCATENATE($S$2,R144)</f>
        <v>-- 45</v>
      </c>
    </row>
    <row r="145" spans="15:19" x14ac:dyDescent="0.25">
      <c r="S145" s="8" t="str">
        <f ca="1">CONCATENATE(
$S$4,
INDIRECT(CONCATENATE("B",Q144)),$S$5,
INDIRECT(CONCATENATE("C",Q144)),$S$5,
INDIRECT(CONCATENATE("D",Q144)),$S$5,
INDIRECT(CONCATENATE("E",Q144)),$S$5,
INDIRECT(CONCATENATE("F",Q144)),$S$5,
INDIRECT(CONCATENATE("G",Q144)),$S$5,
INDIRECT(CONCATENATE("H",Q144)),$S$5,
INDIRECT(CONCATENATE("I",Q144)),$S$7)</f>
        <v>INSERT INTO public.clientes(nome, cpf, telefone, email, rua, numero, cidade, estado) VALUES ('Eduardo Ferreira', '24369126967', '2086599707', 'guilhermecardoso@gmail.com', 'R. Alberto Covas', '287', 'Niterói', 'RJ');</v>
      </c>
    </row>
    <row r="146" spans="15:19" x14ac:dyDescent="0.25">
      <c r="S146" s="8"/>
    </row>
    <row r="147" spans="15:19" x14ac:dyDescent="0.25">
      <c r="Q147" s="15">
        <f t="shared" ref="Q147:R147" si="94">Q144+1</f>
        <v>57</v>
      </c>
      <c r="R147" s="15">
        <f t="shared" si="94"/>
        <v>46</v>
      </c>
      <c r="S147" s="8" t="str">
        <f t="shared" ref="S147" si="95">CONCATENATE($S$2,R147)</f>
        <v>-- 46</v>
      </c>
    </row>
    <row r="148" spans="15:19" x14ac:dyDescent="0.25">
      <c r="S148" s="8" t="str">
        <f ca="1">CONCATENATE(
$S$4,
INDIRECT(CONCATENATE("B",Q147)),$S$5,
INDIRECT(CONCATENATE("C",Q147)),$S$5,
INDIRECT(CONCATENATE("D",Q147)),$S$5,
INDIRECT(CONCATENATE("E",Q147)),$S$5,
INDIRECT(CONCATENATE("F",Q147)),$S$5,
INDIRECT(CONCATENATE("G",Q147)),$S$5,
INDIRECT(CONCATENATE("H",Q147)),$S$5,
INDIRECT(CONCATENATE("I",Q147)),$S$7)</f>
        <v>INSERT INTO public.clientes(nome, cpf, telefone, email, rua, numero, cidade, estado) VALUES ('Alberto Covas', '29441643688', '1868415133', 'lucasnunes@gmail.com', 'R. Manoel Miranda', '265', 'Petropólis', 'RJ');</v>
      </c>
    </row>
    <row r="149" spans="15:19" x14ac:dyDescent="0.25">
      <c r="S149" s="8"/>
    </row>
    <row r="150" spans="15:19" x14ac:dyDescent="0.25">
      <c r="Q150" s="15">
        <f t="shared" ref="Q150:R150" si="96">Q147+1</f>
        <v>58</v>
      </c>
      <c r="R150" s="15">
        <f t="shared" si="96"/>
        <v>47</v>
      </c>
      <c r="S150" s="8" t="str">
        <f t="shared" ref="S150" si="97">CONCATENATE($S$2,R150)</f>
        <v>-- 47</v>
      </c>
    </row>
    <row r="151" spans="15:19" x14ac:dyDescent="0.25">
      <c r="O151" s="11"/>
      <c r="P151" s="11"/>
      <c r="Q151" s="11"/>
      <c r="R151" s="11"/>
      <c r="S151" s="8" t="str">
        <f ca="1">CONCATENATE(
$S$4,
INDIRECT(CONCATENATE("B",Q150)),$S$5,
INDIRECT(CONCATENATE("C",Q150)),$S$5,
INDIRECT(CONCATENATE("D",Q150)),$S$5,
INDIRECT(CONCATENATE("E",Q150)),$S$5,
INDIRECT(CONCATENATE("F",Q150)),$S$5,
INDIRECT(CONCATENATE("G",Q150)),$S$5,
INDIRECT(CONCATENATE("H",Q150)),$S$5,
INDIRECT(CONCATENATE("I",Q150)),$S$7)</f>
        <v>INSERT INTO public.clientes(nome, cpf, telefone, email, rua, numero, cidade, estado) VALUES ('Bruno Moura', '13461420840', '1694213938', 'henriquemenezes@gmail.com', 'R. Juliana Araujo', '988', 'Serra Alta', 'SC');</v>
      </c>
    </row>
    <row r="152" spans="15:19" x14ac:dyDescent="0.25">
      <c r="O152" s="11"/>
      <c r="P152" s="11"/>
      <c r="Q152" s="11"/>
      <c r="R152" s="11"/>
      <c r="S152" s="8"/>
    </row>
    <row r="153" spans="15:19" x14ac:dyDescent="0.25">
      <c r="O153" s="11"/>
      <c r="P153" s="11"/>
      <c r="Q153" s="15">
        <f t="shared" ref="Q153:R153" si="98">Q150+1</f>
        <v>59</v>
      </c>
      <c r="R153" s="15">
        <f t="shared" si="98"/>
        <v>48</v>
      </c>
      <c r="S153" s="8" t="str">
        <f t="shared" ref="S153" si="99">CONCATENATE($S$2,R153)</f>
        <v>-- 48</v>
      </c>
    </row>
    <row r="154" spans="15:19" x14ac:dyDescent="0.25">
      <c r="O154" s="11"/>
      <c r="P154" s="11"/>
      <c r="Q154" s="11"/>
      <c r="R154" s="11"/>
      <c r="S154" s="8" t="str">
        <f ca="1">CONCATENATE(
$S$4,
INDIRECT(CONCATENATE("B",Q153)),$S$5,
INDIRECT(CONCATENATE("C",Q153)),$S$5,
INDIRECT(CONCATENATE("D",Q153)),$S$5,
INDIRECT(CONCATENATE("E",Q153)),$S$5,
INDIRECT(CONCATENATE("F",Q153)),$S$5,
INDIRECT(CONCATENATE("G",Q153)),$S$5,
INDIRECT(CONCATENATE("H",Q153)),$S$5,
INDIRECT(CONCATENATE("I",Q153)),$S$7)</f>
        <v>INSERT INTO public.clientes(nome, cpf, telefone, email, rua, numero, cidade, estado) VALUES ('Fernando Pereira', '63181240800', '3691729405', 'manoelmiranda@gmail.com', 'R. Eduardo Ferreira', '1010', 'Ponta Grossa', 'PR');</v>
      </c>
    </row>
    <row r="155" spans="15:19" x14ac:dyDescent="0.25">
      <c r="O155" s="11"/>
      <c r="P155" s="11"/>
      <c r="Q155" s="11"/>
      <c r="R155" s="11"/>
      <c r="S155" s="8"/>
    </row>
    <row r="156" spans="15:19" x14ac:dyDescent="0.25">
      <c r="O156" s="11"/>
      <c r="P156" s="11"/>
      <c r="Q156" s="15">
        <f t="shared" ref="Q156:R156" si="100">Q153+1</f>
        <v>60</v>
      </c>
      <c r="R156" s="15">
        <f t="shared" si="100"/>
        <v>49</v>
      </c>
      <c r="S156" s="8" t="str">
        <f t="shared" ref="S156" si="101">CONCATENATE($S$2,R156)</f>
        <v>-- 49</v>
      </c>
    </row>
    <row r="157" spans="15:19" x14ac:dyDescent="0.25">
      <c r="O157" s="11"/>
      <c r="P157" s="11"/>
      <c r="Q157" s="11"/>
      <c r="R157" s="11"/>
      <c r="S157" s="8" t="str">
        <f ca="1">CONCATENATE(
$S$4,
INDIRECT(CONCATENATE("B",Q156)),$S$5,
INDIRECT(CONCATENATE("C",Q156)),$S$5,
INDIRECT(CONCATENATE("D",Q156)),$S$5,
INDIRECT(CONCATENATE("E",Q156)),$S$5,
INDIRECT(CONCATENATE("F",Q156)),$S$5,
INDIRECT(CONCATENATE("G",Q156)),$S$5,
INDIRECT(CONCATENATE("H",Q156)),$S$5,
INDIRECT(CONCATENATE("I",Q156)),$S$7)</f>
        <v>INSERT INTO public.clientes(nome, cpf, telefone, email, rua, numero, cidade, estado) VALUES ('Israel Mendes', '74236405652', '3824425468', 'carloseduardomenezes@gmail.com', 'R. Prof. Israel Mendes', '646', 'Itamaraca', 'PE');</v>
      </c>
    </row>
    <row r="158" spans="15:19" x14ac:dyDescent="0.25">
      <c r="O158" s="11"/>
      <c r="P158" s="11"/>
      <c r="Q158" s="11"/>
      <c r="R158" s="11"/>
      <c r="S158" s="8"/>
    </row>
    <row r="159" spans="15:19" x14ac:dyDescent="0.25">
      <c r="O159" s="11"/>
      <c r="P159" s="11"/>
      <c r="Q159" s="15">
        <f t="shared" ref="Q159:R159" si="102">Q156+1</f>
        <v>61</v>
      </c>
      <c r="R159" s="15">
        <f t="shared" si="102"/>
        <v>50</v>
      </c>
      <c r="S159" s="8" t="str">
        <f t="shared" ref="S159" si="103">CONCATENATE($S$2,R159)</f>
        <v>-- 50</v>
      </c>
    </row>
    <row r="160" spans="15:19" x14ac:dyDescent="0.25">
      <c r="O160" s="11"/>
      <c r="P160" s="11"/>
      <c r="Q160" s="11"/>
      <c r="R160" s="11"/>
      <c r="S160" s="8" t="str">
        <f ca="1">CONCATENATE(
$S$4,
INDIRECT(CONCATENATE("B",Q159)),$S$5,
INDIRECT(CONCATENATE("C",Q159)),$S$5,
INDIRECT(CONCATENATE("D",Q159)),$S$5,
INDIRECT(CONCATENATE("E",Q159)),$S$5,
INDIRECT(CONCATENATE("F",Q159)),$S$5,
INDIRECT(CONCATENATE("G",Q159)),$S$5,
INDIRECT(CONCATENATE("H",Q159)),$S$5,
INDIRECT(CONCATENATE("I",Q159)),$S$7)</f>
        <v>INSERT INTO public.clientes(nome, cpf, telefone, email, rua, numero, cidade, estado) VALUES ('Juliana Araujo', '65802037300', '4733124725', 'patriciacorreiadaalbuquerque@gmail.com', 'R. Guilherme Cardoso', '1388', 'Manaus', 'AM');</v>
      </c>
    </row>
    <row r="161" spans="15:19" x14ac:dyDescent="0.25">
      <c r="O161" s="11"/>
      <c r="P161" s="11"/>
      <c r="Q161" s="11"/>
      <c r="R161" s="11"/>
      <c r="S161" s="11"/>
    </row>
    <row r="162" spans="15:19" x14ac:dyDescent="0.25">
      <c r="O162" s="11"/>
      <c r="P162" s="11"/>
      <c r="Q162" s="11"/>
      <c r="R162" s="11"/>
      <c r="S162" s="11"/>
    </row>
    <row r="163" spans="15:19" x14ac:dyDescent="0.25">
      <c r="O163" s="11"/>
      <c r="P163" s="11"/>
      <c r="Q163" s="11"/>
      <c r="R163" s="11"/>
      <c r="S163" s="11"/>
    </row>
    <row r="164" spans="15:19" x14ac:dyDescent="0.25">
      <c r="O164" s="11"/>
      <c r="P164" s="11"/>
      <c r="Q164" s="11"/>
      <c r="R164" s="11"/>
      <c r="S164" s="11"/>
    </row>
    <row r="165" spans="15:19" x14ac:dyDescent="0.25">
      <c r="O165" s="11"/>
      <c r="P165" s="11"/>
      <c r="Q165" s="11"/>
      <c r="R165" s="11"/>
      <c r="S165" s="11"/>
    </row>
    <row r="166" spans="15:19" x14ac:dyDescent="0.25">
      <c r="S166" s="1"/>
    </row>
    <row r="167" spans="15:19" x14ac:dyDescent="0.25">
      <c r="S167" s="1"/>
    </row>
    <row r="168" spans="15:19" x14ac:dyDescent="0.25">
      <c r="S168" s="1"/>
    </row>
    <row r="169" spans="15:19" x14ac:dyDescent="0.25">
      <c r="S169" s="1"/>
    </row>
    <row r="170" spans="15:19" x14ac:dyDescent="0.25">
      <c r="S170" s="1"/>
    </row>
    <row r="171" spans="15:19" x14ac:dyDescent="0.25">
      <c r="S171" s="1"/>
    </row>
    <row r="172" spans="15:19" x14ac:dyDescent="0.25">
      <c r="S172" s="1"/>
    </row>
    <row r="173" spans="15:19" x14ac:dyDescent="0.25">
      <c r="S173" s="1"/>
    </row>
    <row r="174" spans="15:19" x14ac:dyDescent="0.25">
      <c r="S174" s="1"/>
    </row>
    <row r="175" spans="15:19" x14ac:dyDescent="0.25">
      <c r="S175" s="1"/>
    </row>
    <row r="176" spans="15:19" x14ac:dyDescent="0.25">
      <c r="S176" s="1"/>
    </row>
    <row r="177" spans="19:19" x14ac:dyDescent="0.25">
      <c r="S177" s="1"/>
    </row>
    <row r="178" spans="19:19" x14ac:dyDescent="0.25">
      <c r="S178" s="1"/>
    </row>
    <row r="179" spans="19:19" x14ac:dyDescent="0.25">
      <c r="S179" s="1"/>
    </row>
    <row r="180" spans="19:19" x14ac:dyDescent="0.25">
      <c r="S180" s="1"/>
    </row>
    <row r="181" spans="19:19" x14ac:dyDescent="0.25">
      <c r="S181" s="1"/>
    </row>
    <row r="182" spans="19:19" x14ac:dyDescent="0.25">
      <c r="S182" s="1"/>
    </row>
    <row r="183" spans="19:19" x14ac:dyDescent="0.25">
      <c r="S183" s="1"/>
    </row>
    <row r="184" spans="19:19" x14ac:dyDescent="0.25">
      <c r="S184" s="1"/>
    </row>
    <row r="185" spans="19:19" x14ac:dyDescent="0.25">
      <c r="S185" s="1"/>
    </row>
    <row r="186" spans="19:19" x14ac:dyDescent="0.25">
      <c r="S186" s="1"/>
    </row>
    <row r="187" spans="19:19" x14ac:dyDescent="0.25">
      <c r="S187" s="1"/>
    </row>
    <row r="188" spans="19:19" x14ac:dyDescent="0.25">
      <c r="S188" s="1"/>
    </row>
    <row r="189" spans="19:19" x14ac:dyDescent="0.25">
      <c r="S189" s="1"/>
    </row>
    <row r="190" spans="19:19" x14ac:dyDescent="0.25">
      <c r="S190" s="1"/>
    </row>
    <row r="191" spans="19:19" x14ac:dyDescent="0.25">
      <c r="S191" s="1"/>
    </row>
    <row r="192" spans="19:19" x14ac:dyDescent="0.25">
      <c r="S192" s="1"/>
    </row>
    <row r="193" spans="19:19" x14ac:dyDescent="0.25">
      <c r="S193" s="1"/>
    </row>
    <row r="194" spans="19:19" x14ac:dyDescent="0.25">
      <c r="S194" s="1"/>
    </row>
    <row r="195" spans="19:19" x14ac:dyDescent="0.25">
      <c r="S195" s="1"/>
    </row>
    <row r="196" spans="19:19" x14ac:dyDescent="0.25">
      <c r="S196" s="1"/>
    </row>
    <row r="197" spans="19:19" x14ac:dyDescent="0.25">
      <c r="S197" s="1"/>
    </row>
    <row r="198" spans="19:19" x14ac:dyDescent="0.25">
      <c r="S198" s="1"/>
    </row>
    <row r="199" spans="19:19" x14ac:dyDescent="0.25">
      <c r="S199" s="1"/>
    </row>
    <row r="200" spans="19:19" x14ac:dyDescent="0.25">
      <c r="S200" s="1"/>
    </row>
    <row r="201" spans="19:19" x14ac:dyDescent="0.25">
      <c r="S201" s="1"/>
    </row>
    <row r="202" spans="19:19" x14ac:dyDescent="0.25">
      <c r="S202" s="1"/>
    </row>
    <row r="203" spans="19:19" x14ac:dyDescent="0.25">
      <c r="S203" s="1"/>
    </row>
    <row r="204" spans="19:19" x14ac:dyDescent="0.25">
      <c r="S204" s="1"/>
    </row>
    <row r="205" spans="19:19" x14ac:dyDescent="0.25">
      <c r="S205" s="1"/>
    </row>
    <row r="206" spans="19:19" x14ac:dyDescent="0.25">
      <c r="S206" s="1"/>
    </row>
    <row r="207" spans="19:19" x14ac:dyDescent="0.25">
      <c r="S207" s="1"/>
    </row>
    <row r="208" spans="19:19" x14ac:dyDescent="0.25">
      <c r="S208" s="1"/>
    </row>
    <row r="209" spans="19:19" x14ac:dyDescent="0.25">
      <c r="S209" s="1"/>
    </row>
    <row r="210" spans="19:19" x14ac:dyDescent="0.25">
      <c r="S210" s="1"/>
    </row>
    <row r="211" spans="19:19" x14ac:dyDescent="0.25">
      <c r="S211" s="1"/>
    </row>
    <row r="212" spans="19:19" x14ac:dyDescent="0.25">
      <c r="S212" s="1"/>
    </row>
    <row r="213" spans="19:19" x14ac:dyDescent="0.25">
      <c r="S213" s="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2" tint="-0.249977111117893"/>
  </sheetPr>
  <dimension ref="A2:K213"/>
  <sheetViews>
    <sheetView topLeftCell="A10" zoomScale="85" zoomScaleNormal="85" workbookViewId="0">
      <selection activeCell="F6" sqref="F6"/>
    </sheetView>
  </sheetViews>
  <sheetFormatPr defaultRowHeight="15" x14ac:dyDescent="0.25"/>
  <cols>
    <col min="1" max="1" width="9.140625" style="1"/>
    <col min="2" max="2" width="44.28515625" style="5" customWidth="1"/>
    <col min="3" max="3" width="16.42578125" style="1" customWidth="1"/>
    <col min="4" max="4" width="15" style="1" customWidth="1"/>
    <col min="5" max="5" width="13.85546875" style="1" bestFit="1" customWidth="1"/>
    <col min="6" max="8" width="9.140625" style="1"/>
    <col min="9" max="9" width="115" style="5" bestFit="1" customWidth="1"/>
    <col min="10" max="16384" width="9.140625" style="1"/>
  </cols>
  <sheetData>
    <row r="2" spans="1:9" x14ac:dyDescent="0.25">
      <c r="I2" s="13" t="s">
        <v>106</v>
      </c>
    </row>
    <row r="3" spans="1:9" x14ac:dyDescent="0.25">
      <c r="I3" s="14"/>
    </row>
    <row r="4" spans="1:9" x14ac:dyDescent="0.25">
      <c r="I4" s="14" t="s">
        <v>199</v>
      </c>
    </row>
    <row r="5" spans="1:9" x14ac:dyDescent="0.25">
      <c r="I5" s="13" t="s">
        <v>111</v>
      </c>
    </row>
    <row r="6" spans="1:9" x14ac:dyDescent="0.25">
      <c r="I6" s="13" t="s">
        <v>110</v>
      </c>
    </row>
    <row r="7" spans="1:9" x14ac:dyDescent="0.25">
      <c r="I7" s="13" t="s">
        <v>112</v>
      </c>
    </row>
    <row r="8" spans="1:9" x14ac:dyDescent="0.25">
      <c r="I8" s="14">
        <v>123</v>
      </c>
    </row>
    <row r="10" spans="1:9" ht="24" customHeight="1" x14ac:dyDescent="0.25">
      <c r="A10" s="6" t="s">
        <v>3</v>
      </c>
      <c r="B10" s="6" t="s">
        <v>1</v>
      </c>
      <c r="C10" s="6" t="s">
        <v>196</v>
      </c>
      <c r="D10" s="6" t="s">
        <v>197</v>
      </c>
      <c r="E10" s="6" t="s">
        <v>198</v>
      </c>
      <c r="I10" s="6" t="s">
        <v>113</v>
      </c>
    </row>
    <row r="11" spans="1:9" customFormat="1" ht="6.75" customHeight="1" x14ac:dyDescent="0.25">
      <c r="C11" s="17"/>
      <c r="D11" s="17"/>
      <c r="E11" s="17"/>
      <c r="I11" s="2"/>
    </row>
    <row r="12" spans="1:9" x14ac:dyDescent="0.25">
      <c r="A12" s="7">
        <v>1</v>
      </c>
      <c r="B12" s="3" t="s">
        <v>200</v>
      </c>
      <c r="C12" s="18" t="s">
        <v>202</v>
      </c>
      <c r="D12" s="10">
        <f ca="1">RANDBETWEEN(50,1000)</f>
        <v>641</v>
      </c>
      <c r="E12" s="10">
        <f ca="1">RANDBETWEEN(1,50)</f>
        <v>18</v>
      </c>
      <c r="G12" s="15">
        <v>12</v>
      </c>
      <c r="H12" s="15">
        <v>1</v>
      </c>
      <c r="I12" s="8" t="str">
        <f>CONCATENATE($I$2,H12)</f>
        <v>-- 1</v>
      </c>
    </row>
    <row r="13" spans="1:9" x14ac:dyDescent="0.25">
      <c r="A13" s="7">
        <v>2</v>
      </c>
      <c r="B13" s="4" t="s">
        <v>201</v>
      </c>
      <c r="C13" s="19" t="s">
        <v>202</v>
      </c>
      <c r="D13" s="9">
        <f ca="1">RANDBETWEEN(50,1000)</f>
        <v>475</v>
      </c>
      <c r="E13" s="9">
        <f ca="1">RANDBETWEEN(1,50)</f>
        <v>34</v>
      </c>
      <c r="I13" s="8" t="str">
        <f ca="1">CONCATENATE(
$I$4,
INDIRECT(CONCATENATE("B",G12)),$I$5,
INDIRECT(CONCATENATE("C",G12)),$I$5,
INDIRECT(CONCATENATE("D",G12)),$I$5,
INDIRECT(CONCATENATE("E",G12)),$I$7)</f>
        <v>INSERT INTO public.produtos(nome, categoria, preco, fornecedor_id) VALUES ('Mouse', 'Informática', '641', '18');</v>
      </c>
    </row>
    <row r="14" spans="1:9" x14ac:dyDescent="0.25">
      <c r="A14" s="7">
        <v>3</v>
      </c>
      <c r="B14" s="3" t="s">
        <v>207</v>
      </c>
      <c r="C14" s="18" t="s">
        <v>209</v>
      </c>
      <c r="D14" s="10">
        <f t="shared" ref="D14:D61" ca="1" si="0">RANDBETWEEN(50,1000)</f>
        <v>974</v>
      </c>
      <c r="E14" s="10">
        <f t="shared" ref="E14:E61" ca="1" si="1">RANDBETWEEN(1,50)</f>
        <v>36</v>
      </c>
      <c r="I14" s="8"/>
    </row>
    <row r="15" spans="1:9" x14ac:dyDescent="0.25">
      <c r="A15" s="7">
        <v>4</v>
      </c>
      <c r="B15" s="4" t="s">
        <v>213</v>
      </c>
      <c r="C15" s="19" t="s">
        <v>215</v>
      </c>
      <c r="D15" s="9">
        <f t="shared" ca="1" si="0"/>
        <v>272</v>
      </c>
      <c r="E15" s="9">
        <f t="shared" ca="1" si="1"/>
        <v>39</v>
      </c>
      <c r="G15" s="15">
        <f>G12+1</f>
        <v>13</v>
      </c>
      <c r="H15" s="15">
        <f>H12+1</f>
        <v>2</v>
      </c>
      <c r="I15" s="8" t="str">
        <f t="shared" ref="I15" si="2">CONCATENATE($I$2,H15)</f>
        <v>-- 2</v>
      </c>
    </row>
    <row r="16" spans="1:9" x14ac:dyDescent="0.25">
      <c r="A16" s="7">
        <v>5</v>
      </c>
      <c r="B16" s="3" t="s">
        <v>251</v>
      </c>
      <c r="C16" s="18" t="s">
        <v>202</v>
      </c>
      <c r="D16" s="10">
        <f t="shared" ca="1" si="0"/>
        <v>862</v>
      </c>
      <c r="E16" s="10">
        <f t="shared" ca="1" si="1"/>
        <v>37</v>
      </c>
      <c r="I16" s="8" t="str">
        <f t="shared" ref="I16" ca="1" si="3">CONCATENATE(
$I$4,
INDIRECT(CONCATENATE("B",G15)),$I$5,
INDIRECT(CONCATENATE("C",G15)),$I$5,
INDIRECT(CONCATENATE("D",G15)),$I$5,
INDIRECT(CONCATENATE("E",G15)),$I$7)</f>
        <v>INSERT INTO public.produtos(nome, categoria, preco, fornecedor_id) VALUES ('Teclado', 'Informática', '475', '34');</v>
      </c>
    </row>
    <row r="17" spans="1:11" x14ac:dyDescent="0.25">
      <c r="A17" s="7">
        <v>6</v>
      </c>
      <c r="B17" s="4" t="s">
        <v>221</v>
      </c>
      <c r="C17" s="19" t="s">
        <v>222</v>
      </c>
      <c r="D17" s="9">
        <f t="shared" ca="1" si="0"/>
        <v>764</v>
      </c>
      <c r="E17" s="9">
        <f t="shared" ca="1" si="1"/>
        <v>35</v>
      </c>
      <c r="I17" s="8"/>
    </row>
    <row r="18" spans="1:11" x14ac:dyDescent="0.25">
      <c r="A18" s="7">
        <v>7</v>
      </c>
      <c r="B18" s="3" t="s">
        <v>239</v>
      </c>
      <c r="C18" s="18" t="s">
        <v>240</v>
      </c>
      <c r="D18" s="10">
        <f t="shared" ca="1" si="0"/>
        <v>830</v>
      </c>
      <c r="E18" s="10">
        <f t="shared" ca="1" si="1"/>
        <v>3</v>
      </c>
      <c r="G18" s="15">
        <f>G15+1</f>
        <v>14</v>
      </c>
      <c r="H18" s="15">
        <f>H15+1</f>
        <v>3</v>
      </c>
      <c r="I18" s="8" t="str">
        <f t="shared" ref="I18" si="4">CONCATENATE($I$2,H18)</f>
        <v>-- 3</v>
      </c>
    </row>
    <row r="19" spans="1:11" x14ac:dyDescent="0.25">
      <c r="A19" s="7">
        <v>8</v>
      </c>
      <c r="B19" s="4" t="s">
        <v>201</v>
      </c>
      <c r="C19" s="19" t="s">
        <v>202</v>
      </c>
      <c r="D19" s="9">
        <f t="shared" ca="1" si="0"/>
        <v>577</v>
      </c>
      <c r="E19" s="9">
        <f t="shared" ca="1" si="1"/>
        <v>13</v>
      </c>
      <c r="I19" s="8" t="str">
        <f t="shared" ref="I19" ca="1" si="5">CONCATENATE(
$I$4,
INDIRECT(CONCATENATE("B",G18)),$I$5,
INDIRECT(CONCATENATE("C",G18)),$I$5,
INDIRECT(CONCATENATE("D",G18)),$I$5,
INDIRECT(CONCATENATE("E",G18)),$I$7)</f>
        <v>INSERT INTO public.produtos(nome, categoria, preco, fornecedor_id) VALUES ('Martelo', 'Ferramenta', '974', '36');</v>
      </c>
      <c r="K19" s="11"/>
    </row>
    <row r="20" spans="1:11" x14ac:dyDescent="0.25">
      <c r="A20" s="7">
        <v>9</v>
      </c>
      <c r="B20" s="3" t="s">
        <v>238</v>
      </c>
      <c r="C20" s="18" t="s">
        <v>228</v>
      </c>
      <c r="D20" s="10">
        <f t="shared" ca="1" si="0"/>
        <v>997</v>
      </c>
      <c r="E20" s="10">
        <f t="shared" ca="1" si="1"/>
        <v>30</v>
      </c>
      <c r="I20" s="8"/>
    </row>
    <row r="21" spans="1:11" x14ac:dyDescent="0.25">
      <c r="A21" s="7">
        <v>10</v>
      </c>
      <c r="B21" s="4" t="s">
        <v>214</v>
      </c>
      <c r="C21" s="19" t="s">
        <v>215</v>
      </c>
      <c r="D21" s="9">
        <f t="shared" ca="1" si="0"/>
        <v>934</v>
      </c>
      <c r="E21" s="9">
        <f t="shared" ca="1" si="1"/>
        <v>24</v>
      </c>
      <c r="G21" s="15">
        <f>G18+1</f>
        <v>15</v>
      </c>
      <c r="H21" s="15">
        <f>H18+1</f>
        <v>4</v>
      </c>
      <c r="I21" s="8" t="str">
        <f t="shared" ref="I21" si="6">CONCATENATE($I$2,H21)</f>
        <v>-- 4</v>
      </c>
    </row>
    <row r="22" spans="1:11" x14ac:dyDescent="0.25">
      <c r="A22" s="7">
        <v>11</v>
      </c>
      <c r="B22" s="3" t="s">
        <v>208</v>
      </c>
      <c r="C22" s="18" t="s">
        <v>209</v>
      </c>
      <c r="D22" s="10">
        <f t="shared" ca="1" si="0"/>
        <v>384</v>
      </c>
      <c r="E22" s="10">
        <f t="shared" ca="1" si="1"/>
        <v>45</v>
      </c>
      <c r="I22" s="8" t="str">
        <f t="shared" ref="I22" ca="1" si="7">CONCATENATE(
$I$4,
INDIRECT(CONCATENATE("B",G21)),$I$5,
INDIRECT(CONCATENATE("C",G21)),$I$5,
INDIRECT(CONCATENATE("D",G21)),$I$5,
INDIRECT(CONCATENATE("E",G21)),$I$7)</f>
        <v>INSERT INTO public.produtos(nome, categoria, preco, fornecedor_id) VALUES ('Arroz', 'Alimento', '272', '39');</v>
      </c>
    </row>
    <row r="23" spans="1:11" x14ac:dyDescent="0.25">
      <c r="A23" s="7">
        <v>12</v>
      </c>
      <c r="B23" s="4" t="s">
        <v>254</v>
      </c>
      <c r="C23" s="19" t="s">
        <v>209</v>
      </c>
      <c r="D23" s="9">
        <f t="shared" ca="1" si="0"/>
        <v>968</v>
      </c>
      <c r="E23" s="9">
        <f t="shared" ca="1" si="1"/>
        <v>6</v>
      </c>
      <c r="I23" s="8"/>
    </row>
    <row r="24" spans="1:11" x14ac:dyDescent="0.25">
      <c r="A24" s="7">
        <v>13</v>
      </c>
      <c r="B24" s="3" t="s">
        <v>203</v>
      </c>
      <c r="C24" s="18" t="s">
        <v>202</v>
      </c>
      <c r="D24" s="10">
        <f t="shared" ca="1" si="0"/>
        <v>566</v>
      </c>
      <c r="E24" s="10">
        <f t="shared" ca="1" si="1"/>
        <v>15</v>
      </c>
      <c r="G24" s="15">
        <f>G21+1</f>
        <v>16</v>
      </c>
      <c r="H24" s="15">
        <f>H21+1</f>
        <v>5</v>
      </c>
      <c r="I24" s="8" t="str">
        <f t="shared" ref="I24" si="8">CONCATENATE($I$2,H24)</f>
        <v>-- 5</v>
      </c>
    </row>
    <row r="25" spans="1:11" x14ac:dyDescent="0.25">
      <c r="A25" s="7">
        <v>14</v>
      </c>
      <c r="B25" s="4" t="s">
        <v>223</v>
      </c>
      <c r="C25" s="19" t="s">
        <v>222</v>
      </c>
      <c r="D25" s="9">
        <f t="shared" ca="1" si="0"/>
        <v>488</v>
      </c>
      <c r="E25" s="9">
        <f t="shared" ca="1" si="1"/>
        <v>21</v>
      </c>
      <c r="I25" s="8" t="str">
        <f t="shared" ref="I25" ca="1" si="9">CONCATENATE(
$I$4,
INDIRECT(CONCATENATE("B",G24)),$I$5,
INDIRECT(CONCATENATE("C",G24)),$I$5,
INDIRECT(CONCATENATE("D",G24)),$I$5,
INDIRECT(CONCATENATE("E",G24)),$I$7)</f>
        <v>INSERT INTO public.produtos(nome, categoria, preco, fornecedor_id) VALUES ('Computador Acer', 'Informática', '862', '37');</v>
      </c>
    </row>
    <row r="26" spans="1:11" x14ac:dyDescent="0.25">
      <c r="A26" s="7">
        <v>15</v>
      </c>
      <c r="B26" s="3" t="s">
        <v>227</v>
      </c>
      <c r="C26" s="18" t="s">
        <v>228</v>
      </c>
      <c r="D26" s="10">
        <f t="shared" ca="1" si="0"/>
        <v>934</v>
      </c>
      <c r="E26" s="10">
        <f t="shared" ca="1" si="1"/>
        <v>9</v>
      </c>
      <c r="I26" s="8"/>
    </row>
    <row r="27" spans="1:11" x14ac:dyDescent="0.25">
      <c r="A27" s="7">
        <v>16</v>
      </c>
      <c r="B27" s="4" t="s">
        <v>234</v>
      </c>
      <c r="C27" s="19" t="s">
        <v>228</v>
      </c>
      <c r="D27" s="9">
        <f t="shared" ca="1" si="0"/>
        <v>542</v>
      </c>
      <c r="E27" s="9">
        <f t="shared" ca="1" si="1"/>
        <v>7</v>
      </c>
      <c r="G27" s="15">
        <f>G24+1</f>
        <v>17</v>
      </c>
      <c r="H27" s="15">
        <f>H24+1</f>
        <v>6</v>
      </c>
      <c r="I27" s="8" t="str">
        <f t="shared" ref="I27" si="10">CONCATENATE($I$2,H27)</f>
        <v>-- 6</v>
      </c>
    </row>
    <row r="28" spans="1:11" x14ac:dyDescent="0.25">
      <c r="A28" s="7">
        <v>17</v>
      </c>
      <c r="B28" s="3" t="s">
        <v>204</v>
      </c>
      <c r="C28" s="18" t="s">
        <v>202</v>
      </c>
      <c r="D28" s="10">
        <f t="shared" ca="1" si="0"/>
        <v>489</v>
      </c>
      <c r="E28" s="10">
        <f t="shared" ca="1" si="1"/>
        <v>22</v>
      </c>
      <c r="I28" s="8" t="str">
        <f t="shared" ref="I28" ca="1" si="11">CONCATENATE(
$I$4,
INDIRECT(CONCATENATE("B",G27)),$I$5,
INDIRECT(CONCATENATE("C",G27)),$I$5,
INDIRECT(CONCATENATE("D",G27)),$I$5,
INDIRECT(CONCATENATE("E",G27)),$I$7)</f>
        <v>INSERT INTO public.produtos(nome, categoria, preco, fornecedor_id) VALUES ('Caderno', 'Papelaria', '764', '35');</v>
      </c>
    </row>
    <row r="29" spans="1:11" x14ac:dyDescent="0.25">
      <c r="A29" s="7">
        <v>18</v>
      </c>
      <c r="B29" s="4" t="s">
        <v>235</v>
      </c>
      <c r="C29" s="19" t="s">
        <v>228</v>
      </c>
      <c r="D29" s="9">
        <f t="shared" ca="1" si="0"/>
        <v>449</v>
      </c>
      <c r="E29" s="9">
        <f t="shared" ca="1" si="1"/>
        <v>10</v>
      </c>
      <c r="I29" s="8"/>
    </row>
    <row r="30" spans="1:11" x14ac:dyDescent="0.25">
      <c r="A30" s="7">
        <v>19</v>
      </c>
      <c r="B30" s="3" t="s">
        <v>224</v>
      </c>
      <c r="C30" s="18" t="s">
        <v>222</v>
      </c>
      <c r="D30" s="10">
        <f t="shared" ca="1" si="0"/>
        <v>214</v>
      </c>
      <c r="E30" s="10">
        <f t="shared" ca="1" si="1"/>
        <v>3</v>
      </c>
      <c r="G30" s="15">
        <f>G27+1</f>
        <v>18</v>
      </c>
      <c r="H30" s="15">
        <f>H27+1</f>
        <v>7</v>
      </c>
      <c r="I30" s="8" t="str">
        <f t="shared" ref="I30" si="12">CONCATENATE($I$2,H30)</f>
        <v>-- 7</v>
      </c>
    </row>
    <row r="31" spans="1:11" x14ac:dyDescent="0.25">
      <c r="A31" s="7">
        <v>20</v>
      </c>
      <c r="B31" s="4" t="s">
        <v>249</v>
      </c>
      <c r="C31" s="19" t="s">
        <v>202</v>
      </c>
      <c r="D31" s="9">
        <f t="shared" ca="1" si="0"/>
        <v>255</v>
      </c>
      <c r="E31" s="9">
        <f t="shared" ca="1" si="1"/>
        <v>50</v>
      </c>
      <c r="I31" s="8" t="str">
        <f t="shared" ref="I31" ca="1" si="13">CONCATENATE(
$I$4,
INDIRECT(CONCATENATE("B",G30)),$I$5,
INDIRECT(CONCATENATE("C",G30)),$I$5,
INDIRECT(CONCATENATE("D",G30)),$I$5,
INDIRECT(CONCATENATE("E",G30)),$I$7)</f>
        <v>INSERT INTO public.produtos(nome, categoria, preco, fornecedor_id) VALUES ('Sapato', 'Calçado', '830', '3');</v>
      </c>
    </row>
    <row r="32" spans="1:11" x14ac:dyDescent="0.25">
      <c r="A32" s="7">
        <v>21</v>
      </c>
      <c r="B32" s="3" t="s">
        <v>205</v>
      </c>
      <c r="C32" s="18" t="s">
        <v>202</v>
      </c>
      <c r="D32" s="10">
        <f t="shared" ca="1" si="0"/>
        <v>480</v>
      </c>
      <c r="E32" s="10">
        <f t="shared" ca="1" si="1"/>
        <v>11</v>
      </c>
      <c r="I32" s="8"/>
    </row>
    <row r="33" spans="1:9" x14ac:dyDescent="0.25">
      <c r="A33" s="7">
        <v>22</v>
      </c>
      <c r="B33" s="4" t="s">
        <v>241</v>
      </c>
      <c r="C33" s="19" t="s">
        <v>240</v>
      </c>
      <c r="D33" s="9">
        <f t="shared" ca="1" si="0"/>
        <v>843</v>
      </c>
      <c r="E33" s="9">
        <f t="shared" ca="1" si="1"/>
        <v>17</v>
      </c>
      <c r="G33" s="15">
        <f>G30+1</f>
        <v>19</v>
      </c>
      <c r="H33" s="15">
        <f>H30+1</f>
        <v>8</v>
      </c>
      <c r="I33" s="8" t="str">
        <f t="shared" ref="I33" si="14">CONCATENATE($I$2,H33)</f>
        <v>-- 8</v>
      </c>
    </row>
    <row r="34" spans="1:9" x14ac:dyDescent="0.25">
      <c r="A34" s="7">
        <v>23</v>
      </c>
      <c r="B34" s="3" t="s">
        <v>229</v>
      </c>
      <c r="C34" s="18" t="s">
        <v>228</v>
      </c>
      <c r="D34" s="10">
        <f t="shared" ca="1" si="0"/>
        <v>401</v>
      </c>
      <c r="E34" s="10">
        <f t="shared" ca="1" si="1"/>
        <v>28</v>
      </c>
      <c r="I34" s="8" t="str">
        <f t="shared" ref="I34" ca="1" si="15">CONCATENATE(
$I$4,
INDIRECT(CONCATENATE("B",G33)),$I$5,
INDIRECT(CONCATENATE("C",G33)),$I$5,
INDIRECT(CONCATENATE("D",G33)),$I$5,
INDIRECT(CONCATENATE("E",G33)),$I$7)</f>
        <v>INSERT INTO public.produtos(nome, categoria, preco, fornecedor_id) VALUES ('Teclado', 'Informática', '577', '13');</v>
      </c>
    </row>
    <row r="35" spans="1:9" x14ac:dyDescent="0.25">
      <c r="A35" s="7">
        <v>24</v>
      </c>
      <c r="B35" s="4" t="s">
        <v>242</v>
      </c>
      <c r="C35" s="19" t="s">
        <v>240</v>
      </c>
      <c r="D35" s="9">
        <f t="shared" ca="1" si="0"/>
        <v>322</v>
      </c>
      <c r="E35" s="9">
        <f t="shared" ca="1" si="1"/>
        <v>32</v>
      </c>
      <c r="I35" s="8"/>
    </row>
    <row r="36" spans="1:9" x14ac:dyDescent="0.25">
      <c r="A36" s="7">
        <v>25</v>
      </c>
      <c r="B36" s="3" t="s">
        <v>206</v>
      </c>
      <c r="C36" s="18" t="s">
        <v>202</v>
      </c>
      <c r="D36" s="10">
        <f t="shared" ca="1" si="0"/>
        <v>395</v>
      </c>
      <c r="E36" s="10">
        <f t="shared" ca="1" si="1"/>
        <v>43</v>
      </c>
      <c r="G36" s="15">
        <f>G33+1</f>
        <v>20</v>
      </c>
      <c r="H36" s="15">
        <f>H33+1</f>
        <v>9</v>
      </c>
      <c r="I36" s="8" t="str">
        <f t="shared" ref="I36" si="16">CONCATENATE($I$2,H36)</f>
        <v>-- 9</v>
      </c>
    </row>
    <row r="37" spans="1:9" x14ac:dyDescent="0.25">
      <c r="A37" s="7">
        <v>26</v>
      </c>
      <c r="B37" s="4" t="s">
        <v>250</v>
      </c>
      <c r="C37" s="19" t="s">
        <v>202</v>
      </c>
      <c r="D37" s="9">
        <f t="shared" ca="1" si="0"/>
        <v>689</v>
      </c>
      <c r="E37" s="9">
        <f t="shared" ca="1" si="1"/>
        <v>19</v>
      </c>
      <c r="I37" s="8" t="str">
        <f t="shared" ref="I37" ca="1" si="17">CONCATENATE(
$I$4,
INDIRECT(CONCATENATE("B",G36)),$I$5,
INDIRECT(CONCATENATE("C",G36)),$I$5,
INDIRECT(CONCATENATE("D",G36)),$I$5,
INDIRECT(CONCATENATE("E",G36)),$I$7)</f>
        <v>INSERT INTO public.produtos(nome, categoria, preco, fornecedor_id) VALUES ('Meias', 'Roupa', '997', '30');</v>
      </c>
    </row>
    <row r="38" spans="1:9" x14ac:dyDescent="0.25">
      <c r="A38" s="7">
        <v>27</v>
      </c>
      <c r="B38" s="3" t="s">
        <v>230</v>
      </c>
      <c r="C38" s="18" t="s">
        <v>228</v>
      </c>
      <c r="D38" s="10">
        <f t="shared" ca="1" si="0"/>
        <v>912</v>
      </c>
      <c r="E38" s="10">
        <f t="shared" ca="1" si="1"/>
        <v>25</v>
      </c>
      <c r="I38" s="8"/>
    </row>
    <row r="39" spans="1:9" x14ac:dyDescent="0.25">
      <c r="A39" s="7">
        <v>28</v>
      </c>
      <c r="B39" s="4" t="s">
        <v>216</v>
      </c>
      <c r="C39" s="19" t="s">
        <v>215</v>
      </c>
      <c r="D39" s="9">
        <f t="shared" ca="1" si="0"/>
        <v>765</v>
      </c>
      <c r="E39" s="9">
        <f t="shared" ca="1" si="1"/>
        <v>19</v>
      </c>
      <c r="G39" s="15">
        <f>G36+1</f>
        <v>21</v>
      </c>
      <c r="H39" s="15">
        <f>H36+1</f>
        <v>10</v>
      </c>
      <c r="I39" s="8" t="str">
        <f t="shared" ref="I39" si="18">CONCATENATE($I$2,H39)</f>
        <v>-- 10</v>
      </c>
    </row>
    <row r="40" spans="1:9" x14ac:dyDescent="0.25">
      <c r="A40" s="7">
        <v>29</v>
      </c>
      <c r="B40" s="3" t="s">
        <v>236</v>
      </c>
      <c r="C40" s="18" t="s">
        <v>228</v>
      </c>
      <c r="D40" s="10">
        <f t="shared" ca="1" si="0"/>
        <v>527</v>
      </c>
      <c r="E40" s="10">
        <f t="shared" ca="1" si="1"/>
        <v>20</v>
      </c>
      <c r="I40" s="8" t="str">
        <f t="shared" ref="I40" ca="1" si="19">CONCATENATE(
$I$4,
INDIRECT(CONCATENATE("B",G39)),$I$5,
INDIRECT(CONCATENATE("C",G39)),$I$5,
INDIRECT(CONCATENATE("D",G39)),$I$5,
INDIRECT(CONCATENATE("E",G39)),$I$7)</f>
        <v>INSERT INTO public.produtos(nome, categoria, preco, fornecedor_id) VALUES ('Feijão', 'Alimento', '934', '24');</v>
      </c>
    </row>
    <row r="41" spans="1:9" x14ac:dyDescent="0.25">
      <c r="A41" s="7">
        <v>30</v>
      </c>
      <c r="B41" s="4" t="s">
        <v>225</v>
      </c>
      <c r="C41" s="19" t="s">
        <v>209</v>
      </c>
      <c r="D41" s="9">
        <f t="shared" ca="1" si="0"/>
        <v>616</v>
      </c>
      <c r="E41" s="9">
        <f t="shared" ca="1" si="1"/>
        <v>44</v>
      </c>
      <c r="I41" s="8"/>
    </row>
    <row r="42" spans="1:9" x14ac:dyDescent="0.25">
      <c r="A42" s="7">
        <v>31</v>
      </c>
      <c r="B42" s="3" t="s">
        <v>231</v>
      </c>
      <c r="C42" s="18" t="s">
        <v>228</v>
      </c>
      <c r="D42" s="10">
        <f t="shared" ca="1" si="0"/>
        <v>112</v>
      </c>
      <c r="E42" s="10">
        <f t="shared" ca="1" si="1"/>
        <v>46</v>
      </c>
      <c r="G42" s="15">
        <f>G39+1</f>
        <v>22</v>
      </c>
      <c r="H42" s="15">
        <f>H39+1</f>
        <v>11</v>
      </c>
      <c r="I42" s="8" t="str">
        <f t="shared" ref="I42" si="20">CONCATENATE($I$2,H42)</f>
        <v>-- 11</v>
      </c>
    </row>
    <row r="43" spans="1:9" x14ac:dyDescent="0.25">
      <c r="A43" s="7">
        <v>32</v>
      </c>
      <c r="B43" s="4" t="s">
        <v>220</v>
      </c>
      <c r="C43" s="19" t="s">
        <v>215</v>
      </c>
      <c r="D43" s="9">
        <f t="shared" ca="1" si="0"/>
        <v>298</v>
      </c>
      <c r="E43" s="9">
        <f t="shared" ca="1" si="1"/>
        <v>2</v>
      </c>
      <c r="I43" s="8" t="str">
        <f t="shared" ref="I43" ca="1" si="21">CONCATENATE(
$I$4,
INDIRECT(CONCATENATE("B",G42)),$I$5,
INDIRECT(CONCATENATE("C",G42)),$I$5,
INDIRECT(CONCATENATE("D",G42)),$I$5,
INDIRECT(CONCATENATE("E",G42)),$I$7)</f>
        <v>INSERT INTO public.produtos(nome, categoria, preco, fornecedor_id) VALUES ('Serrote', 'Ferramenta', '384', '45');</v>
      </c>
    </row>
    <row r="44" spans="1:9" x14ac:dyDescent="0.25">
      <c r="A44" s="7">
        <v>33</v>
      </c>
      <c r="B44" s="3" t="s">
        <v>212</v>
      </c>
      <c r="C44" s="18" t="s">
        <v>209</v>
      </c>
      <c r="D44" s="10">
        <f t="shared" ca="1" si="0"/>
        <v>957</v>
      </c>
      <c r="E44" s="10">
        <f t="shared" ca="1" si="1"/>
        <v>46</v>
      </c>
      <c r="I44" s="8"/>
    </row>
    <row r="45" spans="1:9" x14ac:dyDescent="0.25">
      <c r="A45" s="7">
        <v>34</v>
      </c>
      <c r="B45" s="4" t="s">
        <v>252</v>
      </c>
      <c r="C45" s="19" t="s">
        <v>209</v>
      </c>
      <c r="D45" s="9">
        <f t="shared" ca="1" si="0"/>
        <v>644</v>
      </c>
      <c r="E45" s="9">
        <f t="shared" ca="1" si="1"/>
        <v>29</v>
      </c>
      <c r="G45" s="15">
        <f>G42+1</f>
        <v>23</v>
      </c>
      <c r="H45" s="15">
        <f>H42+1</f>
        <v>12</v>
      </c>
      <c r="I45" s="8" t="str">
        <f t="shared" ref="I45" si="22">CONCATENATE($I$2,H45)</f>
        <v>-- 12</v>
      </c>
    </row>
    <row r="46" spans="1:9" x14ac:dyDescent="0.25">
      <c r="A46" s="7">
        <v>35</v>
      </c>
      <c r="B46" s="3" t="s">
        <v>217</v>
      </c>
      <c r="C46" s="18" t="s">
        <v>215</v>
      </c>
      <c r="D46" s="10">
        <f t="shared" ca="1" si="0"/>
        <v>676</v>
      </c>
      <c r="E46" s="10">
        <f t="shared" ca="1" si="1"/>
        <v>16</v>
      </c>
      <c r="I46" s="8" t="str">
        <f t="shared" ref="I46" ca="1" si="23">CONCATENATE(
$I$4,
INDIRECT(CONCATENATE("B",G45)),$I$5,
INDIRECT(CONCATENATE("C",G45)),$I$5,
INDIRECT(CONCATENATE("D",G45)),$I$5,
INDIRECT(CONCATENATE("E",G45)),$I$7)</f>
        <v>INSERT INTO public.produtos(nome, categoria, preco, fornecedor_id) VALUES ('Chave Allen', 'Ferramenta', '968', '6');</v>
      </c>
    </row>
    <row r="47" spans="1:9" x14ac:dyDescent="0.25">
      <c r="A47" s="7">
        <v>36</v>
      </c>
      <c r="B47" s="4" t="s">
        <v>226</v>
      </c>
      <c r="C47" s="19" t="s">
        <v>222</v>
      </c>
      <c r="D47" s="9">
        <f t="shared" ca="1" si="0"/>
        <v>358</v>
      </c>
      <c r="E47" s="9">
        <f t="shared" ca="1" si="1"/>
        <v>47</v>
      </c>
      <c r="I47" s="8"/>
    </row>
    <row r="48" spans="1:9" x14ac:dyDescent="0.25">
      <c r="A48" s="7">
        <v>37</v>
      </c>
      <c r="B48" s="3" t="s">
        <v>245</v>
      </c>
      <c r="C48" s="18" t="s">
        <v>202</v>
      </c>
      <c r="D48" s="10">
        <f t="shared" ca="1" si="0"/>
        <v>263</v>
      </c>
      <c r="E48" s="10">
        <f t="shared" ca="1" si="1"/>
        <v>6</v>
      </c>
      <c r="G48" s="15">
        <f>G45+1</f>
        <v>24</v>
      </c>
      <c r="H48" s="15">
        <f>H45+1</f>
        <v>13</v>
      </c>
      <c r="I48" s="8" t="str">
        <f t="shared" ref="I48" si="24">CONCATENATE($I$2,H48)</f>
        <v>-- 13</v>
      </c>
    </row>
    <row r="49" spans="1:9" x14ac:dyDescent="0.25">
      <c r="A49" s="7">
        <v>38</v>
      </c>
      <c r="B49" s="4" t="s">
        <v>232</v>
      </c>
      <c r="C49" s="19" t="s">
        <v>228</v>
      </c>
      <c r="D49" s="9">
        <f t="shared" ca="1" si="0"/>
        <v>801</v>
      </c>
      <c r="E49" s="9">
        <f t="shared" ca="1" si="1"/>
        <v>27</v>
      </c>
      <c r="I49" s="8" t="str">
        <f t="shared" ref="I49" ca="1" si="25">CONCATENATE(
$I$4,
INDIRECT(CONCATENATE("B",G48)),$I$5,
INDIRECT(CONCATENATE("C",G48)),$I$5,
INDIRECT(CONCATENATE("D",G48)),$I$5,
INDIRECT(CONCATENATE("E",G48)),$I$7)</f>
        <v>INSERT INTO public.produtos(nome, categoria, preco, fornecedor_id) VALUES ('Cabo VGA', 'Informática', '566', '15');</v>
      </c>
    </row>
    <row r="50" spans="1:9" x14ac:dyDescent="0.25">
      <c r="A50" s="7">
        <v>39</v>
      </c>
      <c r="B50" s="3" t="s">
        <v>210</v>
      </c>
      <c r="C50" s="18" t="s">
        <v>209</v>
      </c>
      <c r="D50" s="10">
        <f t="shared" ca="1" si="0"/>
        <v>476</v>
      </c>
      <c r="E50" s="10">
        <f t="shared" ca="1" si="1"/>
        <v>31</v>
      </c>
      <c r="I50" s="8"/>
    </row>
    <row r="51" spans="1:9" x14ac:dyDescent="0.25">
      <c r="A51" s="7">
        <v>40</v>
      </c>
      <c r="B51" s="4" t="s">
        <v>253</v>
      </c>
      <c r="C51" s="19" t="s">
        <v>209</v>
      </c>
      <c r="D51" s="9">
        <f t="shared" ca="1" si="0"/>
        <v>697</v>
      </c>
      <c r="E51" s="9">
        <f t="shared" ca="1" si="1"/>
        <v>24</v>
      </c>
      <c r="G51" s="15">
        <f>G48+1</f>
        <v>25</v>
      </c>
      <c r="H51" s="15">
        <f>H48+1</f>
        <v>14</v>
      </c>
      <c r="I51" s="8" t="str">
        <f t="shared" ref="I51" si="26">CONCATENATE($I$2,H51)</f>
        <v>-- 14</v>
      </c>
    </row>
    <row r="52" spans="1:9" x14ac:dyDescent="0.25">
      <c r="A52" s="7">
        <v>41</v>
      </c>
      <c r="B52" s="3" t="s">
        <v>233</v>
      </c>
      <c r="C52" s="18" t="s">
        <v>228</v>
      </c>
      <c r="D52" s="10">
        <f t="shared" ca="1" si="0"/>
        <v>271</v>
      </c>
      <c r="E52" s="10">
        <f t="shared" ca="1" si="1"/>
        <v>35</v>
      </c>
      <c r="I52" s="8" t="str">
        <f t="shared" ref="I52" ca="1" si="27">CONCATENATE(
$I$4,
INDIRECT(CONCATENATE("B",G51)),$I$5,
INDIRECT(CONCATENATE("C",G51)),$I$5,
INDIRECT(CONCATENATE("D",G51)),$I$5,
INDIRECT(CONCATENATE("E",G51)),$I$7)</f>
        <v>INSERT INTO public.produtos(nome, categoria, preco, fornecedor_id) VALUES ('Borracha', 'Papelaria', '488', '21');</v>
      </c>
    </row>
    <row r="53" spans="1:9" x14ac:dyDescent="0.25">
      <c r="A53" s="7">
        <v>42</v>
      </c>
      <c r="B53" s="4" t="s">
        <v>248</v>
      </c>
      <c r="C53" s="19" t="s">
        <v>202</v>
      </c>
      <c r="D53" s="9">
        <f t="shared" ca="1" si="0"/>
        <v>562</v>
      </c>
      <c r="E53" s="9">
        <f t="shared" ca="1" si="1"/>
        <v>11</v>
      </c>
      <c r="I53" s="8"/>
    </row>
    <row r="54" spans="1:9" x14ac:dyDescent="0.25">
      <c r="A54" s="7">
        <v>43</v>
      </c>
      <c r="B54" s="3" t="s">
        <v>211</v>
      </c>
      <c r="C54" s="18" t="s">
        <v>209</v>
      </c>
      <c r="D54" s="10">
        <f t="shared" ca="1" si="0"/>
        <v>839</v>
      </c>
      <c r="E54" s="10">
        <f t="shared" ca="1" si="1"/>
        <v>18</v>
      </c>
      <c r="G54" s="15">
        <f>G51+1</f>
        <v>26</v>
      </c>
      <c r="H54" s="15">
        <f>H51+1</f>
        <v>15</v>
      </c>
      <c r="I54" s="8" t="str">
        <f t="shared" ref="I54" si="28">CONCATENATE($I$2,H54)</f>
        <v>-- 15</v>
      </c>
    </row>
    <row r="55" spans="1:9" x14ac:dyDescent="0.25">
      <c r="A55" s="7">
        <v>44</v>
      </c>
      <c r="B55" s="4" t="s">
        <v>243</v>
      </c>
      <c r="C55" s="19" t="s">
        <v>202</v>
      </c>
      <c r="D55" s="9">
        <f t="shared" ca="1" si="0"/>
        <v>909</v>
      </c>
      <c r="E55" s="9">
        <f t="shared" ca="1" si="1"/>
        <v>48</v>
      </c>
      <c r="I55" s="8" t="str">
        <f t="shared" ref="I55" ca="1" si="29">CONCATENATE(
$I$4,
INDIRECT(CONCATENATE("B",G54)),$I$5,
INDIRECT(CONCATENATE("C",G54)),$I$5,
INDIRECT(CONCATENATE("D",G54)),$I$5,
INDIRECT(CONCATENATE("E",G54)),$I$7)</f>
        <v>INSERT INTO public.produtos(nome, categoria, preco, fornecedor_id) VALUES ('Blusa', 'Roupa', '934', '9');</v>
      </c>
    </row>
    <row r="56" spans="1:9" x14ac:dyDescent="0.25">
      <c r="A56" s="7">
        <v>45</v>
      </c>
      <c r="B56" s="3" t="s">
        <v>244</v>
      </c>
      <c r="C56" s="18" t="s">
        <v>202</v>
      </c>
      <c r="D56" s="10">
        <f t="shared" ca="1" si="0"/>
        <v>338</v>
      </c>
      <c r="E56" s="10">
        <f t="shared" ca="1" si="1"/>
        <v>46</v>
      </c>
      <c r="I56" s="8"/>
    </row>
    <row r="57" spans="1:9" x14ac:dyDescent="0.25">
      <c r="A57" s="7">
        <v>46</v>
      </c>
      <c r="B57" s="4" t="s">
        <v>218</v>
      </c>
      <c r="C57" s="19" t="s">
        <v>215</v>
      </c>
      <c r="D57" s="9">
        <f t="shared" ca="1" si="0"/>
        <v>569</v>
      </c>
      <c r="E57" s="9">
        <f t="shared" ca="1" si="1"/>
        <v>35</v>
      </c>
      <c r="G57" s="15">
        <f>G54+1</f>
        <v>27</v>
      </c>
      <c r="H57" s="15">
        <f>H54+1</f>
        <v>16</v>
      </c>
      <c r="I57" s="8" t="str">
        <f t="shared" ref="I57" si="30">CONCATENATE($I$2,H57)</f>
        <v>-- 16</v>
      </c>
    </row>
    <row r="58" spans="1:9" x14ac:dyDescent="0.25">
      <c r="A58" s="7">
        <v>47</v>
      </c>
      <c r="B58" s="3" t="s">
        <v>246</v>
      </c>
      <c r="C58" s="18" t="s">
        <v>202</v>
      </c>
      <c r="D58" s="10">
        <f t="shared" ca="1" si="0"/>
        <v>253</v>
      </c>
      <c r="E58" s="10">
        <f t="shared" ca="1" si="1"/>
        <v>27</v>
      </c>
      <c r="I58" s="8" t="str">
        <f t="shared" ref="I58" ca="1" si="31">CONCATENATE(
$I$4,
INDIRECT(CONCATENATE("B",G57)),$I$5,
INDIRECT(CONCATENATE("C",G57)),$I$5,
INDIRECT(CONCATENATE("D",G57)),$I$5,
INDIRECT(CONCATENATE("E",G57)),$I$7)</f>
        <v>INSERT INTO public.produtos(nome, categoria, preco, fornecedor_id) VALUES ('Camiseta Metallica', 'Roupa', '542', '7');</v>
      </c>
    </row>
    <row r="59" spans="1:9" x14ac:dyDescent="0.25">
      <c r="A59" s="7">
        <v>48</v>
      </c>
      <c r="B59" s="4" t="s">
        <v>219</v>
      </c>
      <c r="C59" s="19" t="s">
        <v>215</v>
      </c>
      <c r="D59" s="9">
        <f t="shared" ca="1" si="0"/>
        <v>299</v>
      </c>
      <c r="E59" s="9">
        <f t="shared" ca="1" si="1"/>
        <v>6</v>
      </c>
      <c r="I59" s="8"/>
    </row>
    <row r="60" spans="1:9" x14ac:dyDescent="0.25">
      <c r="A60" s="7">
        <v>49</v>
      </c>
      <c r="B60" s="3" t="s">
        <v>237</v>
      </c>
      <c r="C60" s="18" t="s">
        <v>228</v>
      </c>
      <c r="D60" s="10">
        <f t="shared" ca="1" si="0"/>
        <v>220</v>
      </c>
      <c r="E60" s="10">
        <f t="shared" ca="1" si="1"/>
        <v>31</v>
      </c>
      <c r="G60" s="15">
        <f>G57+1</f>
        <v>28</v>
      </c>
      <c r="H60" s="15">
        <f>H57+1</f>
        <v>17</v>
      </c>
      <c r="I60" s="8" t="str">
        <f t="shared" ref="I60" si="32">CONCATENATE($I$2,H60)</f>
        <v>-- 17</v>
      </c>
    </row>
    <row r="61" spans="1:9" x14ac:dyDescent="0.25">
      <c r="A61" s="7">
        <v>50</v>
      </c>
      <c r="B61" s="4" t="s">
        <v>247</v>
      </c>
      <c r="C61" s="19" t="s">
        <v>202</v>
      </c>
      <c r="D61" s="9">
        <f t="shared" ca="1" si="0"/>
        <v>796</v>
      </c>
      <c r="E61" s="9">
        <f t="shared" ca="1" si="1"/>
        <v>4</v>
      </c>
      <c r="I61" s="8" t="str">
        <f t="shared" ref="I61" ca="1" si="33">CONCATENATE(
$I$4,
INDIRECT(CONCATENATE("B",G60)),$I$5,
INDIRECT(CONCATENATE("C",G60)),$I$5,
INDIRECT(CONCATENATE("D",G60)),$I$5,
INDIRECT(CONCATENATE("E",G60)),$I$7)</f>
        <v>INSERT INTO public.produtos(nome, categoria, preco, fornecedor_id) VALUES ('Monitor LCD', 'Informática', '489', '22');</v>
      </c>
    </row>
    <row r="62" spans="1:9" x14ac:dyDescent="0.25">
      <c r="B62" s="12"/>
      <c r="I62" s="8"/>
    </row>
    <row r="63" spans="1:9" x14ac:dyDescent="0.25">
      <c r="B63" s="12"/>
      <c r="G63" s="15">
        <f>G60+1</f>
        <v>29</v>
      </c>
      <c r="H63" s="15">
        <f>H60+1</f>
        <v>18</v>
      </c>
      <c r="I63" s="8" t="str">
        <f t="shared" ref="I63" si="34">CONCATENATE($I$2,H63)</f>
        <v>-- 18</v>
      </c>
    </row>
    <row r="64" spans="1:9" x14ac:dyDescent="0.25">
      <c r="I64" s="8" t="str">
        <f t="shared" ref="I64" ca="1" si="35">CONCATENATE(
$I$4,
INDIRECT(CONCATENATE("B",G63)),$I$5,
INDIRECT(CONCATENATE("C",G63)),$I$5,
INDIRECT(CONCATENATE("D",G63)),$I$5,
INDIRECT(CONCATENATE("E",G63)),$I$7)</f>
        <v>INSERT INTO public.produtos(nome, categoria, preco, fornecedor_id) VALUES ('Camiseta Iron Mainden', 'Roupa', '449', '10');</v>
      </c>
    </row>
    <row r="65" spans="7:9" x14ac:dyDescent="0.25">
      <c r="I65" s="8"/>
    </row>
    <row r="66" spans="7:9" x14ac:dyDescent="0.25">
      <c r="G66" s="15">
        <f>G63+1</f>
        <v>30</v>
      </c>
      <c r="H66" s="15">
        <f>H63+1</f>
        <v>19</v>
      </c>
      <c r="I66" s="8" t="str">
        <f t="shared" ref="I66" si="36">CONCATENATE($I$2,H66)</f>
        <v>-- 19</v>
      </c>
    </row>
    <row r="67" spans="7:9" x14ac:dyDescent="0.25">
      <c r="I67" s="8" t="str">
        <f t="shared" ref="I67" ca="1" si="37">CONCATENATE(
$I$4,
INDIRECT(CONCATENATE("B",G66)),$I$5,
INDIRECT(CONCATENATE("C",G66)),$I$5,
INDIRECT(CONCATENATE("D",G66)),$I$5,
INDIRECT(CONCATENATE("E",G66)),$I$7)</f>
        <v>INSERT INTO public.produtos(nome, categoria, preco, fornecedor_id) VALUES ('Livro', 'Papelaria', '214', '3');</v>
      </c>
    </row>
    <row r="68" spans="7:9" x14ac:dyDescent="0.25">
      <c r="I68" s="8"/>
    </row>
    <row r="69" spans="7:9" x14ac:dyDescent="0.25">
      <c r="G69" s="15">
        <f>G66+1</f>
        <v>31</v>
      </c>
      <c r="H69" s="15">
        <f>H66+1</f>
        <v>20</v>
      </c>
      <c r="I69" s="8" t="str">
        <f t="shared" ref="I69" si="38">CONCATENATE($I$2,H69)</f>
        <v>-- 20</v>
      </c>
    </row>
    <row r="70" spans="7:9" x14ac:dyDescent="0.25">
      <c r="I70" s="8" t="str">
        <f t="shared" ref="I70" ca="1" si="39">CONCATENATE(
$I$4,
INDIRECT(CONCATENATE("B",G69)),$I$5,
INDIRECT(CONCATENATE("C",G69)),$I$5,
INDIRECT(CONCATENATE("D",G69)),$I$5,
INDIRECT(CONCATENATE("E",G69)),$I$7)</f>
        <v>INSERT INTO public.produtos(nome, categoria, preco, fornecedor_id) VALUES ('Notebook Positivo', 'Informática', '255', '50');</v>
      </c>
    </row>
    <row r="71" spans="7:9" x14ac:dyDescent="0.25">
      <c r="I71" s="8"/>
    </row>
    <row r="72" spans="7:9" x14ac:dyDescent="0.25">
      <c r="G72" s="15">
        <f>G69+1</f>
        <v>32</v>
      </c>
      <c r="H72" s="15">
        <f>H69+1</f>
        <v>21</v>
      </c>
      <c r="I72" s="8" t="str">
        <f t="shared" ref="I72" si="40">CONCATENATE($I$2,H72)</f>
        <v>-- 21</v>
      </c>
    </row>
    <row r="73" spans="7:9" x14ac:dyDescent="0.25">
      <c r="I73" s="8" t="str">
        <f t="shared" ref="I73" ca="1" si="41">CONCATENATE(
$I$4,
INDIRECT(CONCATENATE("B",G72)),$I$5,
INDIRECT(CONCATENATE("C",G72)),$I$5,
INDIRECT(CONCATENATE("D",G72)),$I$5,
INDIRECT(CONCATENATE("E",G72)),$I$7)</f>
        <v>INSERT INTO public.produtos(nome, categoria, preco, fornecedor_id) VALUES ('Monitor LED', 'Informática', '480', '11');</v>
      </c>
    </row>
    <row r="74" spans="7:9" x14ac:dyDescent="0.25">
      <c r="I74" s="8"/>
    </row>
    <row r="75" spans="7:9" x14ac:dyDescent="0.25">
      <c r="G75" s="15">
        <f>G72+1</f>
        <v>33</v>
      </c>
      <c r="H75" s="15">
        <f>H72+1</f>
        <v>22</v>
      </c>
      <c r="I75" s="8" t="str">
        <f t="shared" ref="I75" si="42">CONCATENATE($I$2,H75)</f>
        <v>-- 22</v>
      </c>
    </row>
    <row r="76" spans="7:9" x14ac:dyDescent="0.25">
      <c r="I76" s="8" t="str">
        <f t="shared" ref="I76" ca="1" si="43">CONCATENATE(
$I$4,
INDIRECT(CONCATENATE("B",G75)),$I$5,
INDIRECT(CONCATENATE("C",G75)),$I$5,
INDIRECT(CONCATENATE("D",G75)),$I$5,
INDIRECT(CONCATENATE("E",G75)),$I$7)</f>
        <v>INSERT INTO public.produtos(nome, categoria, preco, fornecedor_id) VALUES ('Chinelo', 'Calçado', '843', '17');</v>
      </c>
    </row>
    <row r="77" spans="7:9" x14ac:dyDescent="0.25">
      <c r="I77" s="8"/>
    </row>
    <row r="78" spans="7:9" x14ac:dyDescent="0.25">
      <c r="G78" s="15">
        <f>G75+1</f>
        <v>34</v>
      </c>
      <c r="H78" s="15">
        <f>H75+1</f>
        <v>23</v>
      </c>
      <c r="I78" s="8" t="str">
        <f t="shared" ref="I78" si="44">CONCATENATE($I$2,H78)</f>
        <v>-- 23</v>
      </c>
    </row>
    <row r="79" spans="7:9" x14ac:dyDescent="0.25">
      <c r="I79" s="8" t="str">
        <f t="shared" ref="I79" ca="1" si="45">CONCATENATE(
$I$4,
INDIRECT(CONCATENATE("B",G78)),$I$5,
INDIRECT(CONCATENATE("C",G78)),$I$5,
INDIRECT(CONCATENATE("D",G78)),$I$5,
INDIRECT(CONCATENATE("E",G78)),$I$7)</f>
        <v>INSERT INTO public.produtos(nome, categoria, preco, fornecedor_id) VALUES ('Calça Jeans', 'Roupa', '401', '28');</v>
      </c>
    </row>
    <row r="80" spans="7:9" x14ac:dyDescent="0.25">
      <c r="I80" s="8"/>
    </row>
    <row r="81" spans="7:9" x14ac:dyDescent="0.25">
      <c r="G81" s="15">
        <f>G78+1</f>
        <v>35</v>
      </c>
      <c r="H81" s="15">
        <f>H78+1</f>
        <v>24</v>
      </c>
      <c r="I81" s="8" t="str">
        <f t="shared" ref="I81" si="46">CONCATENATE($I$2,H81)</f>
        <v>-- 24</v>
      </c>
    </row>
    <row r="82" spans="7:9" x14ac:dyDescent="0.25">
      <c r="I82" s="8" t="str">
        <f t="shared" ref="I82" ca="1" si="47">CONCATENATE(
$I$4,
INDIRECT(CONCATENATE("B",G81)),$I$5,
INDIRECT(CONCATENATE("C",G81)),$I$5,
INDIRECT(CONCATENATE("D",G81)),$I$5,
INDIRECT(CONCATENATE("E",G81)),$I$7)</f>
        <v>INSERT INTO public.produtos(nome, categoria, preco, fornecedor_id) VALUES ('Tênnis', 'Calçado', '322', '32');</v>
      </c>
    </row>
    <row r="83" spans="7:9" x14ac:dyDescent="0.25">
      <c r="I83" s="8"/>
    </row>
    <row r="84" spans="7:9" x14ac:dyDescent="0.25">
      <c r="G84" s="15">
        <f>G81+1</f>
        <v>36</v>
      </c>
      <c r="H84" s="15">
        <f>H81+1</f>
        <v>25</v>
      </c>
      <c r="I84" s="8" t="str">
        <f t="shared" ref="I84" si="48">CONCATENATE($I$2,H84)</f>
        <v>-- 25</v>
      </c>
    </row>
    <row r="85" spans="7:9" x14ac:dyDescent="0.25">
      <c r="I85" s="8" t="str">
        <f t="shared" ref="I85" ca="1" si="49">CONCATENATE(
$I$4,
INDIRECT(CONCATENATE("B",G84)),$I$5,
INDIRECT(CONCATENATE("C",G84)),$I$5,
INDIRECT(CONCATENATE("D",G84)),$I$5,
INDIRECT(CONCATENATE("E",G84)),$I$7)</f>
        <v>INSERT INTO public.produtos(nome, categoria, preco, fornecedor_id) VALUES ('Notebook', 'Informática', '395', '43');</v>
      </c>
    </row>
    <row r="86" spans="7:9" x14ac:dyDescent="0.25">
      <c r="I86" s="8"/>
    </row>
    <row r="87" spans="7:9" x14ac:dyDescent="0.25">
      <c r="G87" s="15">
        <f>G84+1</f>
        <v>37</v>
      </c>
      <c r="H87" s="15">
        <f>H84+1</f>
        <v>26</v>
      </c>
      <c r="I87" s="8" t="str">
        <f t="shared" ref="I87" si="50">CONCATENATE($I$2,H87)</f>
        <v>-- 26</v>
      </c>
    </row>
    <row r="88" spans="7:9" x14ac:dyDescent="0.25">
      <c r="I88" s="8" t="str">
        <f t="shared" ref="I88" ca="1" si="51">CONCATENATE(
$I$4,
INDIRECT(CONCATENATE("B",G87)),$I$5,
INDIRECT(CONCATENATE("C",G87)),$I$5,
INDIRECT(CONCATENATE("D",G87)),$I$5,
INDIRECT(CONCATENATE("E",G87)),$I$7)</f>
        <v>INSERT INTO public.produtos(nome, categoria, preco, fornecedor_id) VALUES ('Computador Positivo', 'Informática', '689', '19');</v>
      </c>
    </row>
    <row r="89" spans="7:9" x14ac:dyDescent="0.25">
      <c r="I89" s="8"/>
    </row>
    <row r="90" spans="7:9" x14ac:dyDescent="0.25">
      <c r="G90" s="15">
        <f>G87+1</f>
        <v>38</v>
      </c>
      <c r="H90" s="15">
        <f>H87+1</f>
        <v>27</v>
      </c>
      <c r="I90" s="8" t="str">
        <f t="shared" ref="I90" si="52">CONCATENATE($I$2,H90)</f>
        <v>-- 27</v>
      </c>
    </row>
    <row r="91" spans="7:9" x14ac:dyDescent="0.25">
      <c r="I91" s="8" t="str">
        <f t="shared" ref="I91" ca="1" si="53">CONCATENATE(
$I$4,
INDIRECT(CONCATENATE("B",G90)),$I$5,
INDIRECT(CONCATENATE("C",G90)),$I$5,
INDIRECT(CONCATENATE("D",G90)),$I$5,
INDIRECT(CONCATENATE("E",G90)),$I$7)</f>
        <v>INSERT INTO public.produtos(nome, categoria, preco, fornecedor_id) VALUES ('Camisa Regata', 'Roupa', '912', '25');</v>
      </c>
    </row>
    <row r="92" spans="7:9" x14ac:dyDescent="0.25">
      <c r="I92" s="8"/>
    </row>
    <row r="93" spans="7:9" x14ac:dyDescent="0.25">
      <c r="G93" s="15">
        <f>G90+1</f>
        <v>39</v>
      </c>
      <c r="H93" s="15">
        <f>H90+1</f>
        <v>28</v>
      </c>
      <c r="I93" s="8" t="str">
        <f t="shared" ref="I93" si="54">CONCATENATE($I$2,H93)</f>
        <v>-- 28</v>
      </c>
    </row>
    <row r="94" spans="7:9" x14ac:dyDescent="0.25">
      <c r="I94" s="8" t="str">
        <f t="shared" ref="I94" ca="1" si="55">CONCATENATE(
$I$4,
INDIRECT(CONCATENATE("B",G93)),$I$5,
INDIRECT(CONCATENATE("C",G93)),$I$5,
INDIRECT(CONCATENATE("D",G93)),$I$5,
INDIRECT(CONCATENATE("E",G93)),$I$7)</f>
        <v>INSERT INTO public.produtos(nome, categoria, preco, fornecedor_id) VALUES ('Macarrão', 'Alimento', '765', '19');</v>
      </c>
    </row>
    <row r="95" spans="7:9" x14ac:dyDescent="0.25">
      <c r="I95" s="8"/>
    </row>
    <row r="96" spans="7:9" x14ac:dyDescent="0.25">
      <c r="G96" s="15">
        <f>G93+1</f>
        <v>40</v>
      </c>
      <c r="H96" s="15">
        <f>H93+1</f>
        <v>29</v>
      </c>
      <c r="I96" s="8" t="str">
        <f t="shared" ref="I96" si="56">CONCATENATE($I$2,H96)</f>
        <v>-- 29</v>
      </c>
    </row>
    <row r="97" spans="7:9" x14ac:dyDescent="0.25">
      <c r="I97" s="8" t="str">
        <f t="shared" ref="I97" ca="1" si="57">CONCATENATE(
$I$4,
INDIRECT(CONCATENATE("B",G96)),$I$5,
INDIRECT(CONCATENATE("C",G96)),$I$5,
INDIRECT(CONCATENATE("D",G96)),$I$5,
INDIRECT(CONCATENATE("E",G96)),$I$7)</f>
        <v>INSERT INTO public.produtos(nome, categoria, preco, fornecedor_id) VALUES ('Camiseta AC/DC', 'Roupa', '527', '20');</v>
      </c>
    </row>
    <row r="98" spans="7:9" x14ac:dyDescent="0.25">
      <c r="I98" s="8"/>
    </row>
    <row r="99" spans="7:9" x14ac:dyDescent="0.25">
      <c r="G99" s="15">
        <f>G96+1</f>
        <v>41</v>
      </c>
      <c r="H99" s="15">
        <f>H96+1</f>
        <v>30</v>
      </c>
      <c r="I99" s="8" t="str">
        <f t="shared" ref="I99" si="58">CONCATENATE($I$2,H99)</f>
        <v>-- 30</v>
      </c>
    </row>
    <row r="100" spans="7:9" x14ac:dyDescent="0.25">
      <c r="I100" s="8" t="str">
        <f t="shared" ref="I100" ca="1" si="59">CONCATENATE(
$I$4,
INDIRECT(CONCATENATE("B",G99)),$I$5,
INDIRECT(CONCATENATE("C",G99)),$I$5,
INDIRECT(CONCATENATE("D",G99)),$I$5,
INDIRECT(CONCATENATE("E",G99)),$I$7)</f>
        <v>INSERT INTO public.produtos(nome, categoria, preco, fornecedor_id) VALUES ('Fita Isolante', 'Ferramenta', '616', '44');</v>
      </c>
    </row>
    <row r="101" spans="7:9" x14ac:dyDescent="0.25">
      <c r="I101" s="8"/>
    </row>
    <row r="102" spans="7:9" x14ac:dyDescent="0.25">
      <c r="G102" s="15">
        <f>G99+1</f>
        <v>42</v>
      </c>
      <c r="H102" s="15">
        <f>H99+1</f>
        <v>31</v>
      </c>
      <c r="I102" s="8" t="str">
        <f t="shared" ref="I102" si="60">CONCATENATE($I$2,H102)</f>
        <v>-- 31</v>
      </c>
    </row>
    <row r="103" spans="7:9" x14ac:dyDescent="0.25">
      <c r="I103" s="8" t="str">
        <f t="shared" ref="I103" ca="1" si="61">CONCATENATE(
$I$4,
INDIRECT(CONCATENATE("B",G102)),$I$5,
INDIRECT(CONCATENATE("C",G102)),$I$5,
INDIRECT(CONCATENATE("D",G102)),$I$5,
INDIRECT(CONCATENATE("E",G102)),$I$7)</f>
        <v>INSERT INTO public.produtos(nome, categoria, preco, fornecedor_id) VALUES ('Bermuda', 'Roupa', '112', '46');</v>
      </c>
    </row>
    <row r="104" spans="7:9" x14ac:dyDescent="0.25">
      <c r="I104" s="8"/>
    </row>
    <row r="105" spans="7:9" x14ac:dyDescent="0.25">
      <c r="G105" s="15">
        <f>G102+1</f>
        <v>43</v>
      </c>
      <c r="H105" s="15">
        <f>H102+1</f>
        <v>32</v>
      </c>
      <c r="I105" s="8" t="str">
        <f t="shared" ref="I105" si="62">CONCATENATE($I$2,H105)</f>
        <v>-- 32</v>
      </c>
    </row>
    <row r="106" spans="7:9" x14ac:dyDescent="0.25">
      <c r="I106" s="8" t="str">
        <f t="shared" ref="I106" ca="1" si="63">CONCATENATE(
$I$4,
INDIRECT(CONCATENATE("B",G105)),$I$5,
INDIRECT(CONCATENATE("C",G105)),$I$5,
INDIRECT(CONCATENATE("D",G105)),$I$5,
INDIRECT(CONCATENATE("E",G105)),$I$7)</f>
        <v>INSERT INTO public.produtos(nome, categoria, preco, fornecedor_id) VALUES ('Sal', 'Alimento', '298', '2');</v>
      </c>
    </row>
    <row r="107" spans="7:9" x14ac:dyDescent="0.25">
      <c r="I107" s="8"/>
    </row>
    <row r="108" spans="7:9" x14ac:dyDescent="0.25">
      <c r="G108" s="15">
        <f>G105+1</f>
        <v>44</v>
      </c>
      <c r="H108" s="15">
        <f>H105+1</f>
        <v>33</v>
      </c>
      <c r="I108" s="8" t="str">
        <f t="shared" ref="I108" si="64">CONCATENATE($I$2,H108)</f>
        <v>-- 33</v>
      </c>
    </row>
    <row r="109" spans="7:9" x14ac:dyDescent="0.25">
      <c r="I109" s="8" t="str">
        <f t="shared" ref="I109" ca="1" si="65">CONCATENATE(
$I$4,
INDIRECT(CONCATENATE("B",G108)),$I$5,
INDIRECT(CONCATENATE("C",G108)),$I$5,
INDIRECT(CONCATENATE("D",G108)),$I$5,
INDIRECT(CONCATENATE("E",G108)),$I$7)</f>
        <v>INSERT INTO public.produtos(nome, categoria, preco, fornecedor_id) VALUES ('Esmeril', 'Ferramenta', '957', '46');</v>
      </c>
    </row>
    <row r="110" spans="7:9" x14ac:dyDescent="0.25">
      <c r="I110" s="8"/>
    </row>
    <row r="111" spans="7:9" x14ac:dyDescent="0.25">
      <c r="G111" s="15">
        <f>G108+1</f>
        <v>45</v>
      </c>
      <c r="H111" s="15">
        <f>H108+1</f>
        <v>34</v>
      </c>
      <c r="I111" s="8" t="str">
        <f t="shared" ref="I111" si="66">CONCATENATE($I$2,H111)</f>
        <v>-- 34</v>
      </c>
    </row>
    <row r="112" spans="7:9" x14ac:dyDescent="0.25">
      <c r="I112" s="8" t="str">
        <f t="shared" ref="I112" ca="1" si="67">CONCATENATE(
$I$4,
INDIRECT(CONCATENATE("B",G111)),$I$5,
INDIRECT(CONCATENATE("C",G111)),$I$5,
INDIRECT(CONCATENATE("D",G111)),$I$5,
INDIRECT(CONCATENATE("E",G111)),$I$7)</f>
        <v>INSERT INTO public.produtos(nome, categoria, preco, fornecedor_id) VALUES ('Chave de Fenda', 'Ferramenta', '644', '29');</v>
      </c>
    </row>
    <row r="113" spans="7:9" x14ac:dyDescent="0.25">
      <c r="I113" s="8"/>
    </row>
    <row r="114" spans="7:9" x14ac:dyDescent="0.25">
      <c r="G114" s="15">
        <f>G111+1</f>
        <v>46</v>
      </c>
      <c r="H114" s="15">
        <f>H111+1</f>
        <v>35</v>
      </c>
      <c r="I114" s="8" t="str">
        <f t="shared" ref="I114" si="68">CONCATENATE($I$2,H114)</f>
        <v>-- 35</v>
      </c>
    </row>
    <row r="115" spans="7:9" x14ac:dyDescent="0.25">
      <c r="I115" s="8" t="str">
        <f t="shared" ref="I115" ca="1" si="69">CONCATENATE(
$I$4,
INDIRECT(CONCATENATE("B",G114)),$I$5,
INDIRECT(CONCATENATE("C",G114)),$I$5,
INDIRECT(CONCATENATE("D",G114)),$I$5,
INDIRECT(CONCATENATE("E",G114)),$I$7)</f>
        <v>INSERT INTO public.produtos(nome, categoria, preco, fornecedor_id) VALUES ('Óleo', 'Alimento', '676', '16');</v>
      </c>
    </row>
    <row r="116" spans="7:9" x14ac:dyDescent="0.25">
      <c r="I116" s="8"/>
    </row>
    <row r="117" spans="7:9" x14ac:dyDescent="0.25">
      <c r="G117" s="15">
        <f>G114+1</f>
        <v>47</v>
      </c>
      <c r="H117" s="15">
        <f>H114+1</f>
        <v>36</v>
      </c>
      <c r="I117" s="8" t="str">
        <f t="shared" ref="I117" si="70">CONCATENATE($I$2,H117)</f>
        <v>-- 36</v>
      </c>
    </row>
    <row r="118" spans="7:9" x14ac:dyDescent="0.25">
      <c r="I118" s="8" t="str">
        <f t="shared" ref="I118" ca="1" si="71">CONCATENATE(
$I$4,
INDIRECT(CONCATENATE("B",G117)),$I$5,
INDIRECT(CONCATENATE("C",G117)),$I$5,
INDIRECT(CONCATENATE("D",G117)),$I$5,
INDIRECT(CONCATENATE("E",G117)),$I$7)</f>
        <v>INSERT INTO public.produtos(nome, categoria, preco, fornecedor_id) VALUES ('Durex', 'Papelaria', '358', '47');</v>
      </c>
    </row>
    <row r="119" spans="7:9" x14ac:dyDescent="0.25">
      <c r="I119" s="8"/>
    </row>
    <row r="120" spans="7:9" x14ac:dyDescent="0.25">
      <c r="G120" s="15">
        <f>G117+1</f>
        <v>48</v>
      </c>
      <c r="H120" s="15">
        <f>H117+1</f>
        <v>37</v>
      </c>
      <c r="I120" s="8" t="str">
        <f t="shared" ref="I120" si="72">CONCATENATE($I$2,H120)</f>
        <v>-- 37</v>
      </c>
    </row>
    <row r="121" spans="7:9" x14ac:dyDescent="0.25">
      <c r="I121" s="8" t="str">
        <f t="shared" ref="I121" ca="1" si="73">CONCATENATE(
$I$4,
INDIRECT(CONCATENATE("B",G120)),$I$5,
INDIRECT(CONCATENATE("C",G120)),$I$5,
INDIRECT(CONCATENATE("D",G120)),$I$5,
INDIRECT(CONCATENATE("E",G120)),$I$7)</f>
        <v>INSERT INTO public.produtos(nome, categoria, preco, fornecedor_id) VALUES ('Notebook HP', 'Informática', '263', '6');</v>
      </c>
    </row>
    <row r="122" spans="7:9" x14ac:dyDescent="0.25">
      <c r="I122" s="8"/>
    </row>
    <row r="123" spans="7:9" x14ac:dyDescent="0.25">
      <c r="G123" s="15">
        <f>G120+1</f>
        <v>49</v>
      </c>
      <c r="H123" s="15">
        <f>H120+1</f>
        <v>38</v>
      </c>
      <c r="I123" s="8" t="str">
        <f t="shared" ref="I123" si="74">CONCATENATE($I$2,H123)</f>
        <v>-- 38</v>
      </c>
    </row>
    <row r="124" spans="7:9" x14ac:dyDescent="0.25">
      <c r="I124" s="8" t="str">
        <f t="shared" ref="I124" ca="1" si="75">CONCATENATE(
$I$4,
INDIRECT(CONCATENATE("B",G123)),$I$5,
INDIRECT(CONCATENATE("C",G123)),$I$5,
INDIRECT(CONCATENATE("D",G123)),$I$5,
INDIRECT(CONCATENATE("E",G123)),$I$7)</f>
        <v>INSERT INTO public.produtos(nome, categoria, preco, fornecedor_id) VALUES ('Calça moleton', 'Roupa', '801', '27');</v>
      </c>
    </row>
    <row r="125" spans="7:9" x14ac:dyDescent="0.25">
      <c r="I125" s="8"/>
    </row>
    <row r="126" spans="7:9" x14ac:dyDescent="0.25">
      <c r="G126" s="15">
        <f>G123+1</f>
        <v>50</v>
      </c>
      <c r="H126" s="15">
        <f>H123+1</f>
        <v>39</v>
      </c>
      <c r="I126" s="8" t="str">
        <f t="shared" ref="I126" si="76">CONCATENATE($I$2,H126)</f>
        <v>-- 39</v>
      </c>
    </row>
    <row r="127" spans="7:9" x14ac:dyDescent="0.25">
      <c r="I127" s="8" t="str">
        <f t="shared" ref="I127" ca="1" si="77">CONCATENATE(
$I$4,
INDIRECT(CONCATENATE("B",G126)),$I$5,
INDIRECT(CONCATENATE("C",G126)),$I$5,
INDIRECT(CONCATENATE("D",G126)),$I$5,
INDIRECT(CONCATENATE("E",G126)),$I$7)</f>
        <v>INSERT INTO public.produtos(nome, categoria, preco, fornecedor_id) VALUES ('Compressor', 'Ferramenta', '476', '31');</v>
      </c>
    </row>
    <row r="128" spans="7:9" x14ac:dyDescent="0.25">
      <c r="I128" s="8"/>
    </row>
    <row r="129" spans="7:9" x14ac:dyDescent="0.25">
      <c r="G129" s="15">
        <f>G126+1</f>
        <v>51</v>
      </c>
      <c r="H129" s="15">
        <f>H126+1</f>
        <v>40</v>
      </c>
      <c r="I129" s="8" t="str">
        <f t="shared" ref="I129" si="78">CONCATENATE($I$2,H129)</f>
        <v>-- 40</v>
      </c>
    </row>
    <row r="130" spans="7:9" x14ac:dyDescent="0.25">
      <c r="I130" s="8" t="str">
        <f t="shared" ref="I130" ca="1" si="79">CONCATENATE(
$I$4,
INDIRECT(CONCATENATE("B",G129)),$I$5,
INDIRECT(CONCATENATE("C",G129)),$I$5,
INDIRECT(CONCATENATE("D",G129)),$I$5,
INDIRECT(CONCATENATE("E",G129)),$I$7)</f>
        <v>INSERT INTO public.produtos(nome, categoria, preco, fornecedor_id) VALUES ('Chava Philipis', 'Ferramenta', '697', '24');</v>
      </c>
    </row>
    <row r="131" spans="7:9" x14ac:dyDescent="0.25">
      <c r="I131" s="8"/>
    </row>
    <row r="132" spans="7:9" x14ac:dyDescent="0.25">
      <c r="G132" s="15">
        <f>G129+1</f>
        <v>52</v>
      </c>
      <c r="H132" s="15">
        <f>H129+1</f>
        <v>41</v>
      </c>
      <c r="I132" s="8" t="str">
        <f t="shared" ref="I132" si="80">CONCATENATE($I$2,H132)</f>
        <v>-- 41</v>
      </c>
    </row>
    <row r="133" spans="7:9" x14ac:dyDescent="0.25">
      <c r="I133" s="8" t="str">
        <f t="shared" ref="I133" ca="1" si="81">CONCATENATE(
$I$4,
INDIRECT(CONCATENATE("B",G132)),$I$5,
INDIRECT(CONCATENATE("C",G132)),$I$5,
INDIRECT(CONCATENATE("D",G132)),$I$5,
INDIRECT(CONCATENATE("E",G132)),$I$7)</f>
        <v>INSERT INTO public.produtos(nome, categoria, preco, fornecedor_id) VALUES ('Camiseta', 'Roupa', '271', '35');</v>
      </c>
    </row>
    <row r="134" spans="7:9" x14ac:dyDescent="0.25">
      <c r="I134" s="8"/>
    </row>
    <row r="135" spans="7:9" x14ac:dyDescent="0.25">
      <c r="G135" s="15">
        <f>G132+1</f>
        <v>53</v>
      </c>
      <c r="H135" s="15">
        <f>H132+1</f>
        <v>42</v>
      </c>
      <c r="I135" s="8" t="str">
        <f t="shared" ref="I135" si="82">CONCATENATE($I$2,H135)</f>
        <v>-- 42</v>
      </c>
    </row>
    <row r="136" spans="7:9" x14ac:dyDescent="0.25">
      <c r="I136" s="8" t="str">
        <f t="shared" ref="I136" ca="1" si="83">CONCATENATE(
$I$4,
INDIRECT(CONCATENATE("B",G135)),$I$5,
INDIRECT(CONCATENATE("C",G135)),$I$5,
INDIRECT(CONCATENATE("D",G135)),$I$5,
INDIRECT(CONCATENATE("E",G135)),$I$7)</f>
        <v>INSERT INTO public.produtos(nome, categoria, preco, fornecedor_id) VALUES ('Computador HP', 'Informática', '562', '11');</v>
      </c>
    </row>
    <row r="137" spans="7:9" x14ac:dyDescent="0.25">
      <c r="I137" s="8"/>
    </row>
    <row r="138" spans="7:9" x14ac:dyDescent="0.25">
      <c r="G138" s="15">
        <f>G135+1</f>
        <v>54</v>
      </c>
      <c r="H138" s="15">
        <f>H135+1</f>
        <v>43</v>
      </c>
      <c r="I138" s="8" t="str">
        <f t="shared" ref="I138" si="84">CONCATENATE($I$2,H138)</f>
        <v>-- 43</v>
      </c>
    </row>
    <row r="139" spans="7:9" x14ac:dyDescent="0.25">
      <c r="I139" s="8" t="str">
        <f t="shared" ref="I139" ca="1" si="85">CONCATENATE(
$I$4,
INDIRECT(CONCATENATE("B",G138)),$I$5,
INDIRECT(CONCATENATE("C",G138)),$I$5,
INDIRECT(CONCATENATE("D",G138)),$I$5,
INDIRECT(CONCATENATE("E",G138)),$I$7)</f>
        <v>INSERT INTO public.produtos(nome, categoria, preco, fornecedor_id) VALUES ('Alicate', 'Ferramenta', '839', '18');</v>
      </c>
    </row>
    <row r="140" spans="7:9" x14ac:dyDescent="0.25">
      <c r="I140" s="8"/>
    </row>
    <row r="141" spans="7:9" x14ac:dyDescent="0.25">
      <c r="G141" s="15">
        <f>G138+1</f>
        <v>55</v>
      </c>
      <c r="H141" s="15">
        <f>H138+1</f>
        <v>44</v>
      </c>
      <c r="I141" s="8" t="str">
        <f t="shared" ref="I141" si="86">CONCATENATE($I$2,H141)</f>
        <v>-- 44</v>
      </c>
    </row>
    <row r="142" spans="7:9" x14ac:dyDescent="0.25">
      <c r="I142" s="8" t="str">
        <f t="shared" ref="I142" ca="1" si="87">CONCATENATE(
$I$4,
INDIRECT(CONCATENATE("B",G141)),$I$5,
INDIRECT(CONCATENATE("C",G141)),$I$5,
INDIRECT(CONCATENATE("D",G141)),$I$5,
INDIRECT(CONCATENATE("E",G141)),$I$7)</f>
        <v>INSERT INTO public.produtos(nome, categoria, preco, fornecedor_id) VALUES ('Teclado sem fio', 'Informática', '909', '48');</v>
      </c>
    </row>
    <row r="143" spans="7:9" x14ac:dyDescent="0.25">
      <c r="I143" s="8"/>
    </row>
    <row r="144" spans="7:9" x14ac:dyDescent="0.25">
      <c r="G144" s="15">
        <f>G141+1</f>
        <v>56</v>
      </c>
      <c r="H144" s="15">
        <f>H141+1</f>
        <v>45</v>
      </c>
      <c r="I144" s="8" t="str">
        <f t="shared" ref="I144" si="88">CONCATENATE($I$2,H144)</f>
        <v>-- 45</v>
      </c>
    </row>
    <row r="145" spans="6:9" x14ac:dyDescent="0.25">
      <c r="I145" s="8" t="str">
        <f t="shared" ref="I145" ca="1" si="89">CONCATENATE(
$I$4,
INDIRECT(CONCATENATE("B",G144)),$I$5,
INDIRECT(CONCATENATE("C",G144)),$I$5,
INDIRECT(CONCATENATE("D",G144)),$I$5,
INDIRECT(CONCATENATE("E",G144)),$I$7)</f>
        <v>INSERT INTO public.produtos(nome, categoria, preco, fornecedor_id) VALUES ('Notebook DELL', 'Informática', '338', '46');</v>
      </c>
    </row>
    <row r="146" spans="6:9" x14ac:dyDescent="0.25">
      <c r="I146" s="8"/>
    </row>
    <row r="147" spans="6:9" x14ac:dyDescent="0.25">
      <c r="G147" s="15">
        <f>G144+1</f>
        <v>57</v>
      </c>
      <c r="H147" s="15">
        <f>H144+1</f>
        <v>46</v>
      </c>
      <c r="I147" s="8" t="str">
        <f t="shared" ref="I147" si="90">CONCATENATE($I$2,H147)</f>
        <v>-- 46</v>
      </c>
    </row>
    <row r="148" spans="6:9" x14ac:dyDescent="0.25">
      <c r="I148" s="8" t="str">
        <f t="shared" ref="I148" ca="1" si="91">CONCATENATE(
$I$4,
INDIRECT(CONCATENATE("B",G147)),$I$5,
INDIRECT(CONCATENATE("C",G147)),$I$5,
INDIRECT(CONCATENATE("D",G147)),$I$5,
INDIRECT(CONCATENATE("E",G147)),$I$7)</f>
        <v>INSERT INTO public.produtos(nome, categoria, preco, fornecedor_id) VALUES ('Vinagre', 'Alimento', '569', '35');</v>
      </c>
    </row>
    <row r="149" spans="6:9" x14ac:dyDescent="0.25">
      <c r="I149" s="8"/>
    </row>
    <row r="150" spans="6:9" x14ac:dyDescent="0.25">
      <c r="G150" s="15">
        <f>G147+1</f>
        <v>58</v>
      </c>
      <c r="H150" s="15">
        <f>H147+1</f>
        <v>47</v>
      </c>
      <c r="I150" s="8" t="str">
        <f t="shared" ref="I150" si="92">CONCATENATE($I$2,H150)</f>
        <v>-- 47</v>
      </c>
    </row>
    <row r="151" spans="6:9" x14ac:dyDescent="0.25">
      <c r="F151" s="11"/>
      <c r="G151" s="11"/>
      <c r="H151" s="11"/>
      <c r="I151" s="8" t="str">
        <f t="shared" ref="I151" ca="1" si="93">CONCATENATE(
$I$4,
INDIRECT(CONCATENATE("B",G150)),$I$5,
INDIRECT(CONCATENATE("C",G150)),$I$5,
INDIRECT(CONCATENATE("D",G150)),$I$5,
INDIRECT(CONCATENATE("E",G150)),$I$7)</f>
        <v>INSERT INTO public.produtos(nome, categoria, preco, fornecedor_id) VALUES ('Notebook Acer', 'Informática', '253', '27');</v>
      </c>
    </row>
    <row r="152" spans="6:9" x14ac:dyDescent="0.25">
      <c r="F152" s="11"/>
      <c r="G152" s="11"/>
      <c r="H152" s="11"/>
      <c r="I152" s="8"/>
    </row>
    <row r="153" spans="6:9" x14ac:dyDescent="0.25">
      <c r="F153" s="11"/>
      <c r="G153" s="15">
        <f>G150+1</f>
        <v>59</v>
      </c>
      <c r="H153" s="15">
        <f>H150+1</f>
        <v>48</v>
      </c>
      <c r="I153" s="8" t="str">
        <f t="shared" ref="I153" si="94">CONCATENATE($I$2,H153)</f>
        <v>-- 48</v>
      </c>
    </row>
    <row r="154" spans="6:9" x14ac:dyDescent="0.25">
      <c r="F154" s="11"/>
      <c r="G154" s="11"/>
      <c r="H154" s="11"/>
      <c r="I154" s="8" t="str">
        <f t="shared" ref="I154" ca="1" si="95">CONCATENATE(
$I$4,
INDIRECT(CONCATENATE("B",G153)),$I$5,
INDIRECT(CONCATENATE("C",G153)),$I$5,
INDIRECT(CONCATENATE("D",G153)),$I$5,
INDIRECT(CONCATENATE("E",G153)),$I$7)</f>
        <v>INSERT INTO public.produtos(nome, categoria, preco, fornecedor_id) VALUES ('Açucar', 'Alimento', '299', '6');</v>
      </c>
    </row>
    <row r="155" spans="6:9" x14ac:dyDescent="0.25">
      <c r="F155" s="11"/>
      <c r="G155" s="11"/>
      <c r="H155" s="11"/>
      <c r="I155" s="8"/>
    </row>
    <row r="156" spans="6:9" x14ac:dyDescent="0.25">
      <c r="F156" s="11"/>
      <c r="G156" s="15">
        <f>G153+1</f>
        <v>60</v>
      </c>
      <c r="H156" s="15">
        <f>H153+1</f>
        <v>49</v>
      </c>
      <c r="I156" s="8" t="str">
        <f t="shared" ref="I156" si="96">CONCATENATE($I$2,H156)</f>
        <v>-- 49</v>
      </c>
    </row>
    <row r="157" spans="6:9" x14ac:dyDescent="0.25">
      <c r="F157" s="11"/>
      <c r="G157" s="11"/>
      <c r="H157" s="11"/>
      <c r="I157" s="8" t="str">
        <f t="shared" ref="I157" ca="1" si="97">CONCATENATE(
$I$4,
INDIRECT(CONCATENATE("B",G156)),$I$5,
INDIRECT(CONCATENATE("C",G156)),$I$5,
INDIRECT(CONCATENATE("D",G156)),$I$5,
INDIRECT(CONCATENATE("E",G156)),$I$7)</f>
        <v>INSERT INTO public.produtos(nome, categoria, preco, fornecedor_id) VALUES ('Blusa com Capuz', 'Roupa', '220', '31');</v>
      </c>
    </row>
    <row r="158" spans="6:9" x14ac:dyDescent="0.25">
      <c r="F158" s="11"/>
      <c r="G158" s="11"/>
      <c r="H158" s="11"/>
      <c r="I158" s="8"/>
    </row>
    <row r="159" spans="6:9" x14ac:dyDescent="0.25">
      <c r="F159" s="11"/>
      <c r="G159" s="15">
        <f>G156+1</f>
        <v>61</v>
      </c>
      <c r="H159" s="15">
        <f>H156+1</f>
        <v>50</v>
      </c>
      <c r="I159" s="8" t="str">
        <f t="shared" ref="I159" si="98">CONCATENATE($I$2,H159)</f>
        <v>-- 50</v>
      </c>
    </row>
    <row r="160" spans="6:9" x14ac:dyDescent="0.25">
      <c r="F160" s="11"/>
      <c r="G160" s="11"/>
      <c r="H160" s="11"/>
      <c r="I160" s="8" t="str">
        <f t="shared" ref="I160" ca="1" si="99">CONCATENATE(
$I$4,
INDIRECT(CONCATENATE("B",G159)),$I$5,
INDIRECT(CONCATENATE("C",G159)),$I$5,
INDIRECT(CONCATENATE("D",G159)),$I$5,
INDIRECT(CONCATENATE("E",G159)),$I$7)</f>
        <v>INSERT INTO public.produtos(nome, categoria, preco, fornecedor_id) VALUES ('Computador DELL', 'Informática', '796', '4');</v>
      </c>
    </row>
    <row r="161" spans="6:9" x14ac:dyDescent="0.25">
      <c r="F161" s="11"/>
      <c r="G161" s="11"/>
      <c r="H161" s="11"/>
      <c r="I161" s="1"/>
    </row>
    <row r="162" spans="6:9" x14ac:dyDescent="0.25">
      <c r="F162" s="11"/>
      <c r="G162" s="11"/>
      <c r="H162" s="11"/>
      <c r="I162" s="1"/>
    </row>
    <row r="163" spans="6:9" x14ac:dyDescent="0.25">
      <c r="F163" s="11"/>
      <c r="G163" s="11"/>
      <c r="H163" s="11"/>
      <c r="I163" s="1"/>
    </row>
    <row r="164" spans="6:9" x14ac:dyDescent="0.25">
      <c r="F164" s="11"/>
      <c r="G164" s="11"/>
      <c r="H164" s="11"/>
      <c r="I164" s="1"/>
    </row>
    <row r="165" spans="6:9" x14ac:dyDescent="0.25">
      <c r="F165" s="11"/>
      <c r="G165" s="11"/>
      <c r="H165" s="11"/>
      <c r="I165" s="1"/>
    </row>
    <row r="166" spans="6:9" x14ac:dyDescent="0.25">
      <c r="I166" s="1"/>
    </row>
    <row r="167" spans="6:9" x14ac:dyDescent="0.25">
      <c r="I167" s="1"/>
    </row>
    <row r="168" spans="6:9" x14ac:dyDescent="0.25">
      <c r="I168" s="1"/>
    </row>
    <row r="169" spans="6:9" x14ac:dyDescent="0.25">
      <c r="I169" s="1"/>
    </row>
    <row r="170" spans="6:9" x14ac:dyDescent="0.25">
      <c r="I170" s="1"/>
    </row>
    <row r="171" spans="6:9" x14ac:dyDescent="0.25">
      <c r="I171" s="1"/>
    </row>
    <row r="172" spans="6:9" x14ac:dyDescent="0.25">
      <c r="I172" s="1"/>
    </row>
    <row r="173" spans="6:9" x14ac:dyDescent="0.25">
      <c r="I173" s="1"/>
    </row>
    <row r="174" spans="6:9" x14ac:dyDescent="0.25">
      <c r="I174" s="1"/>
    </row>
    <row r="175" spans="6:9" x14ac:dyDescent="0.25">
      <c r="I175" s="1"/>
    </row>
    <row r="176" spans="6:9" x14ac:dyDescent="0.25">
      <c r="I176" s="1"/>
    </row>
    <row r="177" spans="9:9" x14ac:dyDescent="0.25">
      <c r="I177" s="1"/>
    </row>
    <row r="178" spans="9:9" x14ac:dyDescent="0.25">
      <c r="I178" s="1"/>
    </row>
    <row r="179" spans="9:9" x14ac:dyDescent="0.25">
      <c r="I179" s="1"/>
    </row>
    <row r="180" spans="9:9" x14ac:dyDescent="0.25">
      <c r="I180" s="1"/>
    </row>
    <row r="181" spans="9:9" x14ac:dyDescent="0.25">
      <c r="I181" s="1"/>
    </row>
    <row r="182" spans="9:9" x14ac:dyDescent="0.25">
      <c r="I182" s="1"/>
    </row>
    <row r="183" spans="9:9" x14ac:dyDescent="0.25">
      <c r="I183" s="1"/>
    </row>
    <row r="184" spans="9:9" x14ac:dyDescent="0.25">
      <c r="I184" s="1"/>
    </row>
    <row r="185" spans="9:9" x14ac:dyDescent="0.25">
      <c r="I185" s="1"/>
    </row>
    <row r="186" spans="9:9" x14ac:dyDescent="0.25">
      <c r="I186" s="1"/>
    </row>
    <row r="187" spans="9:9" x14ac:dyDescent="0.25">
      <c r="I187" s="1"/>
    </row>
    <row r="188" spans="9:9" x14ac:dyDescent="0.25">
      <c r="I188" s="1"/>
    </row>
    <row r="189" spans="9:9" x14ac:dyDescent="0.25">
      <c r="I189" s="1"/>
    </row>
    <row r="190" spans="9:9" x14ac:dyDescent="0.25">
      <c r="I190" s="1"/>
    </row>
    <row r="191" spans="9:9" x14ac:dyDescent="0.25">
      <c r="I191" s="1"/>
    </row>
    <row r="192" spans="9:9" x14ac:dyDescent="0.25">
      <c r="I192" s="1"/>
    </row>
    <row r="193" spans="9:9" x14ac:dyDescent="0.25">
      <c r="I193" s="1"/>
    </row>
    <row r="194" spans="9:9" x14ac:dyDescent="0.25">
      <c r="I194" s="1"/>
    </row>
    <row r="195" spans="9:9" x14ac:dyDescent="0.25">
      <c r="I195" s="1"/>
    </row>
    <row r="196" spans="9:9" x14ac:dyDescent="0.25">
      <c r="I196" s="1"/>
    </row>
    <row r="197" spans="9:9" x14ac:dyDescent="0.25">
      <c r="I197" s="1"/>
    </row>
    <row r="198" spans="9:9" x14ac:dyDescent="0.25">
      <c r="I198" s="1"/>
    </row>
    <row r="199" spans="9:9" x14ac:dyDescent="0.25">
      <c r="I199" s="1"/>
    </row>
    <row r="200" spans="9:9" x14ac:dyDescent="0.25">
      <c r="I200" s="1"/>
    </row>
    <row r="201" spans="9:9" x14ac:dyDescent="0.25">
      <c r="I201" s="1"/>
    </row>
    <row r="202" spans="9:9" x14ac:dyDescent="0.25">
      <c r="I202" s="1"/>
    </row>
    <row r="203" spans="9:9" x14ac:dyDescent="0.25">
      <c r="I203" s="1"/>
    </row>
    <row r="204" spans="9:9" x14ac:dyDescent="0.25">
      <c r="I204" s="1"/>
    </row>
    <row r="205" spans="9:9" x14ac:dyDescent="0.25">
      <c r="I205" s="1"/>
    </row>
    <row r="206" spans="9:9" x14ac:dyDescent="0.25">
      <c r="I206" s="1"/>
    </row>
    <row r="207" spans="9:9" x14ac:dyDescent="0.25">
      <c r="I207" s="1"/>
    </row>
    <row r="208" spans="9:9" x14ac:dyDescent="0.25">
      <c r="I208" s="1"/>
    </row>
    <row r="209" spans="9:9" x14ac:dyDescent="0.25">
      <c r="I209" s="1"/>
    </row>
    <row r="210" spans="9:9" x14ac:dyDescent="0.25">
      <c r="I210" s="1"/>
    </row>
    <row r="211" spans="9:9" x14ac:dyDescent="0.25">
      <c r="I211" s="1"/>
    </row>
    <row r="212" spans="9:9" x14ac:dyDescent="0.25">
      <c r="I212" s="1"/>
    </row>
    <row r="213" spans="9:9" x14ac:dyDescent="0.25">
      <c r="I213" s="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  Usuários  </vt:lpstr>
      <vt:lpstr>Fornecedores</vt:lpstr>
      <vt:lpstr>  Clientes  </vt:lpstr>
      <vt:lpstr>Produtos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</dc:creator>
  <cp:lastModifiedBy>Luiz</cp:lastModifiedBy>
  <dcterms:created xsi:type="dcterms:W3CDTF">2017-04-11T22:46:45Z</dcterms:created>
  <dcterms:modified xsi:type="dcterms:W3CDTF">2022-07-12T01:55:05Z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186ef839-0051-46b4-b786-48a315f59115</vt:lpwstr>
  </property>
</Properties>
</file>